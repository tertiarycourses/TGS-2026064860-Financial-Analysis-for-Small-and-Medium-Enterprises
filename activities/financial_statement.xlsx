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 Statement Model" sheetId="1" r:id="rId4"/>
  </sheets>
  <definedNames/>
  <calcPr/>
  <extLst>
    <ext uri="GoogleSheetsCustomDataVersion2">
      <go:sheetsCustomData xmlns:go="http://customooxmlschemas.google.com/" r:id="rId5" roundtripDataChecksum="Q7N0ltftmlrDtiescEtcujdiCCmeDQ70oP3qUOHMk4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======
ID#AAABhTZ-Y0g
Administrator    (2025-03-29 08:57:52)
Now includes capital lease obligations based on accounting rules changes</t>
      </text>
    </comment>
    <comment authorId="0" ref="A37">
      <text>
        <t xml:space="preserve">======
ID#AAABhTZ-Y0c
Administrator    (2025-03-29 08:57:52)
These can be either positive or negative for income depending on the nature of the item. Here we have used positive items that boost NI.</t>
      </text>
    </comment>
    <comment authorId="0" ref="A62">
      <text>
        <t xml:space="preserve">======
ID#AAABhTZ-Y0Y
Administrator    (2025-03-29 08:57:52)
Includes Accounts payable, accrued expenses, short term debt, customer advances, and income taxes payable</t>
      </text>
    </comment>
    <comment authorId="0" ref="A53">
      <text>
        <t xml:space="preserve">======
ID#AAABhTZ-Y0U
Administrator    (2025-03-29 08:57:52)
Includes buildings, land, and machinery + equipment</t>
      </text>
    </comment>
    <comment authorId="0" ref="A28">
      <text>
        <t xml:space="preserve">======
ID#AAABhTZ-Y0Q
Administrator    (2025-03-29 08:57:52)
Includes Restructuring, Asset Impairment, and other unusual expenses</t>
      </text>
    </comment>
  </commentList>
  <extLst>
    <ext uri="GoogleSheetsCustomDataVersion2">
      <go:sheetsCustomData xmlns:go="http://customooxmlschemas.google.com/" r:id="rId1" roundtripDataSignature="AMtx7miUby/5g0FJNOCq7e2o0VtoxJOE/Q=="/>
    </ext>
  </extLst>
</comments>
</file>

<file path=xl/sharedStrings.xml><?xml version="1.0" encoding="utf-8"?>
<sst xmlns="http://schemas.openxmlformats.org/spreadsheetml/2006/main" count="168" uniqueCount="103">
  <si>
    <t>Pro Forma Financial Statements</t>
  </si>
  <si>
    <t>FINANCIAL ASSUMPTIONS</t>
  </si>
  <si>
    <t>Income Statement Assumptions</t>
  </si>
  <si>
    <t xml:space="preserve"> Market Share Growth (% Change) </t>
  </si>
  <si>
    <t xml:space="preserve"> Market Growth (% Change) </t>
  </si>
  <si>
    <t xml:space="preserve"> Revenue Growth (% Change) </t>
  </si>
  <si>
    <t xml:space="preserve">Cost of Goods Sold (% of Revenue) </t>
  </si>
  <si>
    <t xml:space="preserve">SG&amp;A (% of Revenue) </t>
  </si>
  <si>
    <t xml:space="preserve"> Depreciation &amp; Amortization (% of Gross PP&amp;E) </t>
  </si>
  <si>
    <t xml:space="preserve"> Interest (% of LT Debt) </t>
  </si>
  <si>
    <t xml:space="preserve"> Tax Rate (% of Income Before Tax) </t>
  </si>
  <si>
    <t xml:space="preserve"> Balance Sheet Assumptions</t>
  </si>
  <si>
    <t>Balance Sheet CAGR</t>
  </si>
  <si>
    <t xml:space="preserve">Net Receivable (Days) </t>
  </si>
  <si>
    <t xml:space="preserve"> Inventory (Days) </t>
  </si>
  <si>
    <t xml:space="preserve"> Capital Expenditures ($000's) </t>
  </si>
  <si>
    <t xml:space="preserve"> Debt Issuance (Repayment) ($000's) </t>
  </si>
  <si>
    <t xml:space="preserve"> Equity Issued (Repaid) ($000's) </t>
  </si>
  <si>
    <t>INCOME STATEMENT</t>
  </si>
  <si>
    <t>REVENUE AND GROSS PROFIT</t>
  </si>
  <si>
    <t>Total Revenue</t>
  </si>
  <si>
    <t xml:space="preserve"> </t>
  </si>
  <si>
    <t>OPERATING EXPENSES</t>
  </si>
  <si>
    <t>COGS Expenses</t>
  </si>
  <si>
    <t>SG&amp;A Expenses</t>
  </si>
  <si>
    <t>Research &amp; Development</t>
  </si>
  <si>
    <t>Unusual Expense (Income)</t>
  </si>
  <si>
    <t>Total Operating Expense</t>
  </si>
  <si>
    <t>Operating Income</t>
  </si>
  <si>
    <t>NON-OPERATING INCOME &amp; EXPENSES</t>
  </si>
  <si>
    <t xml:space="preserve">Interest Expense </t>
  </si>
  <si>
    <t>Income Before Tax</t>
  </si>
  <si>
    <t>INCOME TAXES</t>
  </si>
  <si>
    <t>Income Tax - Total</t>
  </si>
  <si>
    <t>Income After Tax</t>
  </si>
  <si>
    <t>Total Extraordinary Items</t>
  </si>
  <si>
    <t>Net Income</t>
  </si>
  <si>
    <t>EPS RECONCILIATION</t>
  </si>
  <si>
    <t>Basic/Primary Weighted Average Shares</t>
  </si>
  <si>
    <t>Basic Normalized EPS</t>
  </si>
  <si>
    <t>BALANCE SHEET</t>
  </si>
  <si>
    <t>ASSETS</t>
  </si>
  <si>
    <t>Cash &amp; Equivalents</t>
  </si>
  <si>
    <t>Short Term Investments</t>
  </si>
  <si>
    <t>Cash and Short Term Inv</t>
  </si>
  <si>
    <t>Total Receivables, Net</t>
  </si>
  <si>
    <t>Total Inventory</t>
  </si>
  <si>
    <t>Other Current. Assets, Total</t>
  </si>
  <si>
    <t>Total Current Assets</t>
  </si>
  <si>
    <t>Prop./Plant/Equip. - Gross</t>
  </si>
  <si>
    <t>Accumulated Depreciation</t>
  </si>
  <si>
    <t>Prop./Plant/Equip. - Net</t>
  </si>
  <si>
    <t>Goodwill, Net</t>
  </si>
  <si>
    <t>Intangibles, Net</t>
  </si>
  <si>
    <t>Long Term Investments</t>
  </si>
  <si>
    <t>Other Long Term Assets</t>
  </si>
  <si>
    <t>Total Assets</t>
  </si>
  <si>
    <t>LIABILITIES</t>
  </si>
  <si>
    <t>Total Current Liabilities</t>
  </si>
  <si>
    <t>Long Term Debt</t>
  </si>
  <si>
    <t>Capital Lease Obligations</t>
  </si>
  <si>
    <t>--</t>
  </si>
  <si>
    <t>Total Long Term Debt</t>
  </si>
  <si>
    <t>Deferred Income Tax</t>
  </si>
  <si>
    <t>Other Liabilities, Total</t>
  </si>
  <si>
    <t>Total Liabilities</t>
  </si>
  <si>
    <t>SHAREHOLDER EQUITY</t>
  </si>
  <si>
    <t>Common Stock</t>
  </si>
  <si>
    <t>Additional Paid-In Capital</t>
  </si>
  <si>
    <t>Retained Earnings (Accumulated Deficit)</t>
  </si>
  <si>
    <t>Unrealized Gain (Loss)</t>
  </si>
  <si>
    <t>Total Equity</t>
  </si>
  <si>
    <t>Total Liabilities &amp; Shareholders Equity</t>
  </si>
  <si>
    <t>Total Common Shares Outstanding</t>
  </si>
  <si>
    <t>STATEMENT OF CASH FLOWS</t>
  </si>
  <si>
    <t>CASH FROM (USED BY) OPERATING ACTIVITIES</t>
  </si>
  <si>
    <t>Plus: Depreciation/Depletion</t>
  </si>
  <si>
    <t>Accounts Receivable</t>
  </si>
  <si>
    <t>Inventories</t>
  </si>
  <si>
    <t>Accounts Payable</t>
  </si>
  <si>
    <t>Changes in Working Capital</t>
  </si>
  <si>
    <t>Total Cash from Operations</t>
  </si>
  <si>
    <t>PLUS: CASH FROM (USED BY) INVESTING ACTIVITIES</t>
  </si>
  <si>
    <t>Capital Expenditures</t>
  </si>
  <si>
    <t>Acquisition of Business</t>
  </si>
  <si>
    <t>Sale/Maturity of Investment</t>
  </si>
  <si>
    <t>Purchase of Investments</t>
  </si>
  <si>
    <t>Total Cash from Investing</t>
  </si>
  <si>
    <t>PLUS: CASH FROM (USED BY) FINANCING ACTIVITIES</t>
  </si>
  <si>
    <t>Total Cash Dividends Paid</t>
  </si>
  <si>
    <t>Issuance (Retirement) of Stock, Net</t>
  </si>
  <si>
    <t>Issuance (Retirement) of Debt, Net</t>
  </si>
  <si>
    <t>Total Cash From Financing</t>
  </si>
  <si>
    <t>EQUALS: INCREASE (DECREASE) IN CASH</t>
  </si>
  <si>
    <t>Foreign Exchange Effects</t>
  </si>
  <si>
    <t>Net Change in Cash</t>
  </si>
  <si>
    <t>Net Cash - Beginning Balance / Reserved for Future Use</t>
  </si>
  <si>
    <t>Net Cash -Ending Balance /Reserved for Future Use</t>
  </si>
  <si>
    <t>RATIOS</t>
  </si>
  <si>
    <t>Debt/Assets</t>
  </si>
  <si>
    <t>Current Assets/Current Liabilities</t>
  </si>
  <si>
    <t>Debt/EBITDA</t>
  </si>
  <si>
    <t>Return on Assets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</si>
</sst>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1.0"/>
      <color theme="1"/>
      <name val="Calibri"/>
      <scheme val="minor"/>
    </font>
    <font>
      <b/>
      <u/>
      <sz val="11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i/>
      <sz val="11.0"/>
      <color theme="1"/>
      <name val="Arial"/>
    </font>
    <font>
      <b/>
      <u/>
      <sz val="11.0"/>
      <color theme="1"/>
      <name val="Arial"/>
    </font>
    <font>
      <i/>
      <sz val="12.0"/>
      <color theme="1"/>
      <name val="Arial"/>
    </font>
    <font>
      <b/>
      <u/>
      <sz val="11.0"/>
      <color theme="1"/>
      <name val="Arial"/>
    </font>
    <font>
      <sz val="12.0"/>
      <color theme="1"/>
      <name val="Arial"/>
    </font>
    <font>
      <b/>
      <u/>
      <sz val="11.0"/>
      <color theme="1"/>
      <name val="Arial"/>
    </font>
    <font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00CCFF"/>
        <bgColor rgb="FF00CCFF"/>
      </patternFill>
    </fill>
    <fill>
      <patternFill patternType="solid">
        <fgColor theme="0"/>
        <bgColor theme="0"/>
      </patternFill>
    </fill>
  </fills>
  <borders count="14">
    <border/>
    <border>
      <left/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4" fontId="6" numFmtId="0" xfId="0" applyAlignment="1" applyBorder="1" applyFont="1">
      <alignment horizontal="center" shrinkToFit="0" vertical="bottom" wrapText="0"/>
    </xf>
    <xf borderId="2" fillId="4" fontId="7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4" fontId="8" numFmtId="0" xfId="0" applyAlignment="1" applyBorder="1" applyFont="1">
      <alignment horizontal="center" shrinkToFit="0" vertical="bottom" wrapText="0"/>
    </xf>
    <xf borderId="3" fillId="4" fontId="9" numFmtId="0" xfId="0" applyAlignment="1" applyBorder="1" applyFont="1">
      <alignment horizontal="center" shrinkToFit="0" vertical="bottom" wrapText="0"/>
    </xf>
    <xf borderId="1" fillId="4" fontId="2" numFmtId="0" xfId="0" applyAlignment="1" applyBorder="1" applyFont="1">
      <alignment shrinkToFit="0" vertical="bottom" wrapText="0"/>
    </xf>
    <xf borderId="4" fillId="4" fontId="10" numFmtId="164" xfId="0" applyAlignment="1" applyBorder="1" applyFont="1" applyNumberFormat="1">
      <alignment horizontal="center" shrinkToFit="0" vertical="bottom" wrapText="0"/>
    </xf>
    <xf borderId="5" fillId="4" fontId="10" numFmtId="164" xfId="0" applyAlignment="1" applyBorder="1" applyFont="1" applyNumberFormat="1">
      <alignment horizontal="center" shrinkToFit="0" vertical="bottom" wrapText="0"/>
    </xf>
    <xf borderId="6" fillId="4" fontId="10" numFmtId="164" xfId="0" applyAlignment="1" applyBorder="1" applyFont="1" applyNumberFormat="1">
      <alignment horizontal="center" shrinkToFit="0" vertical="bottom" wrapText="0"/>
    </xf>
    <xf borderId="3" fillId="4" fontId="10" numFmtId="164" xfId="0" applyAlignment="1" applyBorder="1" applyFont="1" applyNumberFormat="1">
      <alignment horizontal="center" shrinkToFit="0" vertical="bottom" wrapText="0"/>
    </xf>
    <xf borderId="7" fillId="4" fontId="10" numFmtId="164" xfId="0" applyAlignment="1" applyBorder="1" applyFont="1" applyNumberFormat="1">
      <alignment horizontal="center" shrinkToFit="0" vertical="bottom" wrapText="0"/>
    </xf>
    <xf borderId="1" fillId="4" fontId="2" numFmtId="10" xfId="0" applyAlignment="1" applyBorder="1" applyFont="1" applyNumberFormat="1">
      <alignment horizontal="center" shrinkToFit="0" vertical="bottom" wrapText="0"/>
    </xf>
    <xf borderId="2" fillId="4" fontId="2" numFmtId="10" xfId="0" applyAlignment="1" applyBorder="1" applyFont="1" applyNumberFormat="1">
      <alignment horizontal="center" shrinkToFit="0" vertical="bottom" wrapText="0"/>
    </xf>
    <xf borderId="1" fillId="4" fontId="10" numFmtId="164" xfId="0" applyAlignment="1" applyBorder="1" applyFont="1" applyNumberFormat="1">
      <alignment horizontal="center"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1" fillId="4" fontId="11" numFmtId="9" xfId="0" applyAlignment="1" applyBorder="1" applyFont="1" applyNumberFormat="1">
      <alignment horizontal="center" shrinkToFit="0" vertical="bottom" wrapText="0"/>
    </xf>
    <xf borderId="1" fillId="4" fontId="12" numFmtId="3" xfId="0" applyAlignment="1" applyBorder="1" applyFont="1" applyNumberFormat="1">
      <alignment horizontal="center" shrinkToFit="0" vertical="bottom" wrapText="0"/>
    </xf>
    <xf borderId="2" fillId="4" fontId="12" numFmtId="3" xfId="0" applyAlignment="1" applyBorder="1" applyFont="1" applyNumberFormat="1">
      <alignment horizontal="center" shrinkToFit="0" vertical="bottom" wrapText="0"/>
    </xf>
    <xf borderId="6" fillId="4" fontId="2" numFmtId="0" xfId="0" applyAlignment="1" applyBorder="1" applyFont="1">
      <alignment shrinkToFit="0" vertical="bottom" wrapText="0"/>
    </xf>
    <xf borderId="6" fillId="4" fontId="2" numFmtId="0" xfId="0" applyAlignment="1" applyBorder="1" applyFont="1">
      <alignment horizontal="center" shrinkToFit="0" vertical="bottom" wrapText="0"/>
    </xf>
    <xf borderId="6" fillId="4" fontId="12" numFmtId="3" xfId="0" applyAlignment="1" applyBorder="1" applyFont="1" applyNumberFormat="1">
      <alignment horizontal="center" shrinkToFit="0" vertical="bottom" wrapText="0"/>
    </xf>
    <xf borderId="3" fillId="4" fontId="12" numFmtId="3" xfId="0" applyAlignment="1" applyBorder="1" applyFont="1" applyNumberFormat="1">
      <alignment horizontal="center" shrinkToFit="0" vertical="bottom" wrapText="0"/>
    </xf>
    <xf borderId="7" fillId="4" fontId="12" numFmtId="3" xfId="0" applyAlignment="1" applyBorder="1" applyFont="1" applyNumberForma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0" fillId="0" fontId="2" numFmtId="3" xfId="0" applyAlignment="1" applyFont="1" applyNumberFormat="1">
      <alignment horizontal="center" shrinkToFit="0" vertical="bottom" wrapText="0"/>
    </xf>
    <xf borderId="8" fillId="0" fontId="2" numFmtId="3" xfId="0" applyAlignment="1" applyBorder="1" applyFont="1" applyNumberFormat="1">
      <alignment horizontal="center" shrinkToFit="0" vertical="bottom" wrapText="0"/>
    </xf>
    <xf borderId="9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9" fillId="0" fontId="2" numFmtId="2" xfId="0" applyAlignment="1" applyBorder="1" applyFont="1" applyNumberFormat="1">
      <alignment horizontal="center" shrinkToFit="0" vertical="bottom" wrapText="0"/>
    </xf>
    <xf borderId="10" fillId="0" fontId="2" numFmtId="2" xfId="0" applyAlignment="1" applyBorder="1" applyFont="1" applyNumberFormat="1">
      <alignment horizontal="center"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8" fillId="0" fontId="2" numFmtId="2" xfId="0" applyAlignment="1" applyBorder="1" applyFont="1" applyNumberFormat="1">
      <alignment horizontal="center" shrinkToFit="0" vertical="bottom" wrapText="0"/>
    </xf>
    <xf borderId="9" fillId="0" fontId="2" numFmtId="3" xfId="0" applyAlignment="1" applyBorder="1" applyFont="1" applyNumberFormat="1">
      <alignment horizontal="center" shrinkToFit="0" vertical="bottom" wrapText="0"/>
    </xf>
    <xf borderId="10" fillId="0" fontId="2" numFmtId="3" xfId="0" applyAlignment="1" applyBorder="1" applyFont="1" applyNumberFormat="1">
      <alignment horizontal="center" shrinkToFit="0" vertical="bottom" wrapText="0"/>
    </xf>
    <xf borderId="11" fillId="0" fontId="2" numFmtId="3" xfId="0" applyAlignment="1" applyBorder="1" applyFont="1" applyNumberFormat="1">
      <alignment horizontal="center" shrinkToFit="0" vertical="bottom" wrapText="0"/>
    </xf>
    <xf borderId="12" fillId="0" fontId="2" numFmtId="3" xfId="0" applyAlignment="1" applyBorder="1" applyFont="1" applyNumberFormat="1">
      <alignment horizontal="center" shrinkToFit="0" vertical="bottom" wrapText="0"/>
    </xf>
    <xf borderId="0" fillId="0" fontId="14" numFmtId="3" xfId="0" applyAlignment="1" applyFont="1" applyNumberFormat="1">
      <alignment horizontal="center" shrinkToFit="0" vertical="bottom" wrapText="0"/>
    </xf>
    <xf borderId="8" fillId="0" fontId="14" numFmtId="3" xfId="0" applyAlignment="1" applyBorder="1" applyFont="1" applyNumberFormat="1">
      <alignment horizontal="center" shrinkToFit="0" vertical="bottom" wrapText="0"/>
    </xf>
    <xf borderId="13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horizontal="center" shrinkToFit="0" vertical="bottom" wrapText="0"/>
    </xf>
    <xf borderId="12" fillId="0" fontId="2" numFmtId="0" xfId="0" applyAlignment="1" applyBorder="1" applyFont="1">
      <alignment horizontal="center" shrinkToFit="0" vertical="bottom" wrapText="0"/>
    </xf>
    <xf borderId="9" fillId="0" fontId="2" numFmtId="164" xfId="0" applyAlignment="1" applyBorder="1" applyFont="1" applyNumberFormat="1">
      <alignment horizontal="center" shrinkToFit="0" vertical="bottom" wrapText="0"/>
    </xf>
    <xf borderId="10" fillId="0" fontId="2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0"/>
    <col customWidth="1" min="2" max="2" width="4.0"/>
    <col customWidth="1" min="3" max="26" width="10.0"/>
  </cols>
  <sheetData>
    <row r="1" ht="13.5" customHeight="1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/>
      <c r="B2" s="6"/>
      <c r="C2" s="7">
        <v>2014.0</v>
      </c>
      <c r="D2" s="7">
        <v>2015.0</v>
      </c>
      <c r="E2" s="7">
        <v>2016.0</v>
      </c>
      <c r="F2" s="7">
        <v>2017.0</v>
      </c>
      <c r="G2" s="8">
        <v>2018.0</v>
      </c>
      <c r="H2" s="7">
        <v>2019.0</v>
      </c>
      <c r="I2" s="7">
        <v>2020.0</v>
      </c>
      <c r="J2" s="7">
        <v>2021.0</v>
      </c>
      <c r="K2" s="8">
        <v>2022.0</v>
      </c>
      <c r="L2" s="7">
        <v>2023.0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 t="s">
        <v>1</v>
      </c>
      <c r="B3" s="10"/>
      <c r="C3" s="11"/>
      <c r="D3" s="11"/>
      <c r="E3" s="11"/>
      <c r="F3" s="11"/>
      <c r="G3" s="12"/>
      <c r="H3" s="11"/>
      <c r="I3" s="11"/>
      <c r="J3" s="11"/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3.5" customHeight="1">
      <c r="A4" s="14" t="s">
        <v>2</v>
      </c>
      <c r="B4" s="10"/>
      <c r="C4" s="11"/>
      <c r="D4" s="11"/>
      <c r="E4" s="11"/>
      <c r="F4" s="11"/>
      <c r="G4" s="15"/>
      <c r="H4" s="11"/>
      <c r="I4" s="11"/>
      <c r="J4" s="11"/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6" t="s">
        <v>3</v>
      </c>
      <c r="B5" s="10"/>
      <c r="C5" s="17">
        <v>0.01</v>
      </c>
      <c r="D5" s="17">
        <v>0.012</v>
      </c>
      <c r="E5" s="17">
        <v>0.02</v>
      </c>
      <c r="F5" s="17">
        <v>-0.015</v>
      </c>
      <c r="G5" s="18">
        <v>0.015</v>
      </c>
      <c r="H5" s="17">
        <f t="shared" ref="H5:L5" si="1">AVERAGE(D5:G5)</f>
        <v>0.008</v>
      </c>
      <c r="I5" s="17">
        <f t="shared" si="1"/>
        <v>0.007</v>
      </c>
      <c r="J5" s="17">
        <f t="shared" si="1"/>
        <v>0.00375</v>
      </c>
      <c r="K5" s="17">
        <f t="shared" si="1"/>
        <v>0.0084375</v>
      </c>
      <c r="L5" s="17">
        <f t="shared" si="1"/>
        <v>0.006796875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6" t="s">
        <v>4</v>
      </c>
      <c r="B6" s="10"/>
      <c r="C6" s="19">
        <v>0.07</v>
      </c>
      <c r="D6" s="19">
        <v>0.14</v>
      </c>
      <c r="E6" s="19">
        <v>0.11</v>
      </c>
      <c r="F6" s="19">
        <v>0.106</v>
      </c>
      <c r="G6" s="20">
        <v>0.046</v>
      </c>
      <c r="H6" s="21">
        <f t="shared" ref="H6:L6" si="2">AVERAGE(D6:G6)</f>
        <v>0.1005</v>
      </c>
      <c r="I6" s="19">
        <f t="shared" si="2"/>
        <v>0.090625</v>
      </c>
      <c r="J6" s="19">
        <f t="shared" si="2"/>
        <v>0.08578125</v>
      </c>
      <c r="K6" s="19">
        <f t="shared" si="2"/>
        <v>0.0807265625</v>
      </c>
      <c r="L6" s="19">
        <f t="shared" si="2"/>
        <v>0.08940820313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6" t="s">
        <v>5</v>
      </c>
      <c r="B7" s="10"/>
      <c r="C7" s="22">
        <v>0.051</v>
      </c>
      <c r="D7" s="22">
        <f t="shared" ref="D7:G7" si="3">(D23-C23)/D23</f>
        <v>0.07209873905</v>
      </c>
      <c r="E7" s="22">
        <f t="shared" si="3"/>
        <v>-0.02661430107</v>
      </c>
      <c r="F7" s="22">
        <f t="shared" si="3"/>
        <v>0.0560934442</v>
      </c>
      <c r="G7" s="23">
        <f t="shared" si="3"/>
        <v>0.1249456325</v>
      </c>
      <c r="H7" s="24">
        <f t="shared" ref="H7:H12" si="6">AVERAGE(D7:G7)</f>
        <v>0.05663087866</v>
      </c>
      <c r="I7" s="24">
        <f>I6+I5</f>
        <v>0.097625</v>
      </c>
      <c r="J7" s="24">
        <f t="shared" ref="J7:L7" si="4">AVERAGE(F7:I7)</f>
        <v>0.08382373883</v>
      </c>
      <c r="K7" s="24">
        <f t="shared" si="4"/>
        <v>0.09075631249</v>
      </c>
      <c r="L7" s="24">
        <f t="shared" si="4"/>
        <v>0.0822089825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6" t="s">
        <v>6</v>
      </c>
      <c r="B8" s="10"/>
      <c r="C8" s="22">
        <f t="shared" ref="C8:G8" si="5">C25/C23</f>
        <v>0.3118399687</v>
      </c>
      <c r="D8" s="22">
        <f t="shared" si="5"/>
        <v>0.3530455225</v>
      </c>
      <c r="E8" s="22">
        <f t="shared" si="5"/>
        <v>0.3410711543</v>
      </c>
      <c r="F8" s="22">
        <f t="shared" si="5"/>
        <v>0.3547752431</v>
      </c>
      <c r="G8" s="23">
        <f t="shared" si="5"/>
        <v>0.3475262776</v>
      </c>
      <c r="H8" s="24">
        <f t="shared" si="6"/>
        <v>0.3491045494</v>
      </c>
      <c r="I8" s="24">
        <f t="shared" ref="I8:L8" si="7">AVERAGE(E8:H8)</f>
        <v>0.3481193061</v>
      </c>
      <c r="J8" s="24">
        <f t="shared" si="7"/>
        <v>0.3498813441</v>
      </c>
      <c r="K8" s="24">
        <f t="shared" si="7"/>
        <v>0.3486578693</v>
      </c>
      <c r="L8" s="24">
        <f t="shared" si="7"/>
        <v>0.3489407672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6" t="s">
        <v>7</v>
      </c>
      <c r="B9" s="10"/>
      <c r="C9" s="22">
        <f t="shared" ref="C9:G9" si="8">C26/C23</f>
        <v>0.2359471629</v>
      </c>
      <c r="D9" s="22">
        <f t="shared" si="8"/>
        <v>0.2171831588</v>
      </c>
      <c r="E9" s="22">
        <f t="shared" si="8"/>
        <v>0.210610615</v>
      </c>
      <c r="F9" s="22">
        <f t="shared" si="8"/>
        <v>0.1931014487</v>
      </c>
      <c r="G9" s="23">
        <f t="shared" si="8"/>
        <v>0.2013682494</v>
      </c>
      <c r="H9" s="24">
        <f t="shared" si="6"/>
        <v>0.205565868</v>
      </c>
      <c r="I9" s="24">
        <f t="shared" ref="I9:L9" si="9">AVERAGE(E9:H9)</f>
        <v>0.2026615453</v>
      </c>
      <c r="J9" s="24">
        <f t="shared" si="9"/>
        <v>0.2006742778</v>
      </c>
      <c r="K9" s="24">
        <f t="shared" si="9"/>
        <v>0.2025674851</v>
      </c>
      <c r="L9" s="24">
        <f t="shared" si="9"/>
        <v>0.202867294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6" t="s">
        <v>8</v>
      </c>
      <c r="B10" s="10"/>
      <c r="C10" s="22">
        <f t="shared" ref="C10:G10" si="10">C81/C53</f>
        <v>0.1874550424</v>
      </c>
      <c r="D10" s="22">
        <f t="shared" si="10"/>
        <v>0.1842162229</v>
      </c>
      <c r="E10" s="22">
        <f t="shared" si="10"/>
        <v>0.1735506867</v>
      </c>
      <c r="F10" s="22">
        <f t="shared" si="10"/>
        <v>0.1832070628</v>
      </c>
      <c r="G10" s="23">
        <f t="shared" si="10"/>
        <v>0.1748547279</v>
      </c>
      <c r="H10" s="24">
        <f t="shared" si="6"/>
        <v>0.1789571751</v>
      </c>
      <c r="I10" s="24">
        <f t="shared" ref="I10:L10" si="11">AVERAGE(E10:H10)</f>
        <v>0.1776424131</v>
      </c>
      <c r="J10" s="24">
        <f t="shared" si="11"/>
        <v>0.1786653447</v>
      </c>
      <c r="K10" s="24">
        <f t="shared" si="11"/>
        <v>0.1775299152</v>
      </c>
      <c r="L10" s="24">
        <f t="shared" si="11"/>
        <v>0.178198712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6" t="s">
        <v>9</v>
      </c>
      <c r="B11" s="10"/>
      <c r="C11" s="22">
        <f t="shared" ref="C11:G11" si="12">C32/C63</f>
        <v>0.02891741342</v>
      </c>
      <c r="D11" s="22">
        <f t="shared" si="12"/>
        <v>0.02808544304</v>
      </c>
      <c r="E11" s="22">
        <f t="shared" si="12"/>
        <v>0.03064822349</v>
      </c>
      <c r="F11" s="22">
        <f t="shared" si="12"/>
        <v>0.0292087863</v>
      </c>
      <c r="G11" s="23">
        <f t="shared" si="12"/>
        <v>0.03783117854</v>
      </c>
      <c r="H11" s="24">
        <f t="shared" si="6"/>
        <v>0.03144340784</v>
      </c>
      <c r="I11" s="24">
        <f t="shared" ref="I11:L11" si="13">AVERAGE(E11:H11)</f>
        <v>0.03228289904</v>
      </c>
      <c r="J11" s="24">
        <f t="shared" si="13"/>
        <v>0.03269156793</v>
      </c>
      <c r="K11" s="24">
        <f t="shared" si="13"/>
        <v>0.03356226334</v>
      </c>
      <c r="L11" s="24">
        <f t="shared" si="13"/>
        <v>0.03249503454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6" t="s">
        <v>10</v>
      </c>
      <c r="B12" s="10"/>
      <c r="C12" s="22">
        <f t="shared" ref="C12:G12" si="14">C35/C33</f>
        <v>0.2123743347</v>
      </c>
      <c r="D12" s="22">
        <f t="shared" si="14"/>
        <v>0.3671570623</v>
      </c>
      <c r="E12" s="22">
        <f t="shared" si="14"/>
        <v>0.1946342022</v>
      </c>
      <c r="F12" s="22">
        <f t="shared" si="14"/>
        <v>0.1649469119</v>
      </c>
      <c r="G12" s="23">
        <f t="shared" si="14"/>
        <v>0.1921742363</v>
      </c>
      <c r="H12" s="24">
        <f t="shared" si="6"/>
        <v>0.2297281032</v>
      </c>
      <c r="I12" s="24">
        <f t="shared" ref="I12:L12" si="15">AVERAGE(E12:H12)</f>
        <v>0.1953708634</v>
      </c>
      <c r="J12" s="24">
        <f t="shared" si="15"/>
        <v>0.1955550287</v>
      </c>
      <c r="K12" s="24">
        <f t="shared" si="15"/>
        <v>0.2032070579</v>
      </c>
      <c r="L12" s="24">
        <f t="shared" si="15"/>
        <v>0.2059652633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3.5" customHeight="1">
      <c r="A13" s="14" t="s">
        <v>11</v>
      </c>
      <c r="B13" s="10"/>
      <c r="C13" s="10"/>
      <c r="D13" s="10"/>
      <c r="E13" s="10"/>
      <c r="F13" s="10"/>
      <c r="G13" s="25"/>
      <c r="H13" s="11"/>
      <c r="I13" s="11"/>
      <c r="J13" s="11"/>
      <c r="K13" s="11"/>
      <c r="L13" s="11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3.5" customHeight="1">
      <c r="A14" s="14" t="s">
        <v>12</v>
      </c>
      <c r="B14" s="10"/>
      <c r="C14" s="10"/>
      <c r="D14" s="10"/>
      <c r="E14" s="10"/>
      <c r="F14" s="10"/>
      <c r="G14" s="25"/>
      <c r="H14" s="26">
        <v>0.05</v>
      </c>
      <c r="I14" s="11"/>
      <c r="J14" s="11"/>
      <c r="K14" s="11"/>
      <c r="L14" s="11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6" t="s">
        <v>13</v>
      </c>
      <c r="B15" s="10"/>
      <c r="C15" s="27">
        <f t="shared" ref="C15:G15" si="16">C49/C23*365</f>
        <v>82.15263782</v>
      </c>
      <c r="D15" s="27">
        <f t="shared" si="16"/>
        <v>69.88747596</v>
      </c>
      <c r="E15" s="27">
        <f t="shared" si="16"/>
        <v>73.18499462</v>
      </c>
      <c r="F15" s="27">
        <f t="shared" si="16"/>
        <v>84.7802653</v>
      </c>
      <c r="G15" s="28">
        <f t="shared" si="16"/>
        <v>87.58214027</v>
      </c>
      <c r="H15" s="27">
        <f t="shared" ref="H15:L15" si="17">AVERAGE(C15:G15)</f>
        <v>79.51750279</v>
      </c>
      <c r="I15" s="27">
        <f t="shared" si="17"/>
        <v>78.99047579</v>
      </c>
      <c r="J15" s="27">
        <f t="shared" si="17"/>
        <v>80.81107575</v>
      </c>
      <c r="K15" s="27">
        <f t="shared" si="17"/>
        <v>82.33629198</v>
      </c>
      <c r="L15" s="27">
        <f t="shared" si="17"/>
        <v>81.84749732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6" t="s">
        <v>14</v>
      </c>
      <c r="B16" s="10"/>
      <c r="C16" s="27">
        <f t="shared" ref="C16:G16" si="18">C50/C25*365</f>
        <v>35.85567619</v>
      </c>
      <c r="D16" s="27">
        <f t="shared" si="18"/>
        <v>32.06096011</v>
      </c>
      <c r="E16" s="27">
        <f t="shared" si="18"/>
        <v>26.42698617</v>
      </c>
      <c r="F16" s="27">
        <f t="shared" si="18"/>
        <v>23.23531129</v>
      </c>
      <c r="G16" s="28">
        <f t="shared" si="18"/>
        <v>25.33387219</v>
      </c>
      <c r="H16" s="27">
        <f t="shared" ref="H16:L16" si="19">AVERAGE(C16:G16)</f>
        <v>28.58256119</v>
      </c>
      <c r="I16" s="27">
        <f t="shared" si="19"/>
        <v>27.12793819</v>
      </c>
      <c r="J16" s="27">
        <f t="shared" si="19"/>
        <v>26.1413338</v>
      </c>
      <c r="K16" s="27">
        <f t="shared" si="19"/>
        <v>26.08420333</v>
      </c>
      <c r="L16" s="27">
        <f t="shared" si="19"/>
        <v>26.65398174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6" t="s">
        <v>15</v>
      </c>
      <c r="B17" s="10"/>
      <c r="C17" s="27">
        <f t="shared" ref="C17:G17" si="20">D53-C53</f>
        <v>4533</v>
      </c>
      <c r="D17" s="27">
        <f t="shared" si="20"/>
        <v>5819</v>
      </c>
      <c r="E17" s="27">
        <f t="shared" si="20"/>
        <v>9757</v>
      </c>
      <c r="F17" s="27">
        <f t="shared" si="20"/>
        <v>10770</v>
      </c>
      <c r="G17" s="28">
        <f t="shared" si="20"/>
        <v>0</v>
      </c>
      <c r="H17" s="27">
        <f t="shared" ref="H17:L17" si="21">AVERAGE(C17:G17)</f>
        <v>6175.8</v>
      </c>
      <c r="I17" s="27">
        <f t="shared" si="21"/>
        <v>6504.36</v>
      </c>
      <c r="J17" s="27">
        <f t="shared" si="21"/>
        <v>6641.432</v>
      </c>
      <c r="K17" s="27">
        <f t="shared" si="21"/>
        <v>6018.3184</v>
      </c>
      <c r="L17" s="27">
        <f t="shared" si="21"/>
        <v>5067.98208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6" t="s">
        <v>16</v>
      </c>
      <c r="B18" s="10"/>
      <c r="C18" s="27">
        <f t="shared" ref="C18:F18" si="22">D65-C65</f>
        <v>7163</v>
      </c>
      <c r="D18" s="27">
        <f t="shared" si="22"/>
        <v>13510</v>
      </c>
      <c r="E18" s="27">
        <f t="shared" si="22"/>
        <v>37180</v>
      </c>
      <c r="F18" s="27">
        <f t="shared" si="22"/>
        <v>-2131</v>
      </c>
      <c r="G18" s="28"/>
      <c r="H18" s="27">
        <f t="shared" ref="H18:L18" si="23">AVERAGE(C18:G18)</f>
        <v>13930.5</v>
      </c>
      <c r="I18" s="27">
        <f t="shared" si="23"/>
        <v>15622.375</v>
      </c>
      <c r="J18" s="27">
        <f t="shared" si="23"/>
        <v>16150.46875</v>
      </c>
      <c r="K18" s="27">
        <f t="shared" si="23"/>
        <v>10893.08594</v>
      </c>
      <c r="L18" s="27">
        <f t="shared" si="23"/>
        <v>14149.10742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29" t="s">
        <v>17</v>
      </c>
      <c r="B19" s="30"/>
      <c r="C19" s="31">
        <f t="shared" ref="C19:F19" si="24">D74-C74</f>
        <v>838</v>
      </c>
      <c r="D19" s="31">
        <f t="shared" si="24"/>
        <v>9682</v>
      </c>
      <c r="E19" s="31">
        <f t="shared" si="24"/>
        <v>10612</v>
      </c>
      <c r="F19" s="31">
        <f t="shared" si="24"/>
        <v>12667</v>
      </c>
      <c r="G19" s="32"/>
      <c r="H19" s="33">
        <f t="shared" ref="H19:L19" si="25">AVERAGE(C19:G19)</f>
        <v>8449.75</v>
      </c>
      <c r="I19" s="31">
        <f t="shared" si="25"/>
        <v>10352.6875</v>
      </c>
      <c r="J19" s="31">
        <f t="shared" si="25"/>
        <v>10520.35938</v>
      </c>
      <c r="K19" s="31">
        <f t="shared" si="25"/>
        <v>10497.44922</v>
      </c>
      <c r="L19" s="31">
        <f t="shared" si="25"/>
        <v>9955.061523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3.5" customHeight="1">
      <c r="A20" s="16"/>
      <c r="B20" s="10"/>
      <c r="C20" s="11"/>
      <c r="D20" s="11"/>
      <c r="E20" s="11"/>
      <c r="F20" s="11"/>
      <c r="G20" s="12"/>
      <c r="H20" s="11"/>
      <c r="I20" s="11"/>
      <c r="J20" s="11"/>
      <c r="K20" s="11"/>
      <c r="L20" s="11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3.5" customHeight="1">
      <c r="A21" s="34" t="s">
        <v>18</v>
      </c>
      <c r="B21" s="35"/>
      <c r="C21" s="35"/>
      <c r="D21" s="35"/>
      <c r="E21" s="35"/>
      <c r="F21" s="35"/>
      <c r="G21" s="36"/>
      <c r="H21" s="35"/>
      <c r="I21" s="35"/>
      <c r="J21" s="35"/>
      <c r="K21" s="35"/>
      <c r="L21" s="3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3.5" customHeight="1">
      <c r="A22" s="13" t="s">
        <v>19</v>
      </c>
      <c r="B22" s="35"/>
      <c r="C22" s="35"/>
      <c r="D22" s="35"/>
      <c r="E22" s="35"/>
      <c r="F22" s="35"/>
      <c r="G22" s="36"/>
      <c r="H22" s="35"/>
      <c r="I22" s="35"/>
      <c r="J22" s="35"/>
      <c r="K22" s="35"/>
      <c r="L22" s="3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3.5" customHeight="1">
      <c r="A23" s="13" t="s">
        <v>20</v>
      </c>
      <c r="B23" s="35" t="s">
        <v>21</v>
      </c>
      <c r="C23" s="37">
        <v>86833.0</v>
      </c>
      <c r="D23" s="37">
        <v>93580.0</v>
      </c>
      <c r="E23" s="37">
        <v>91154.0</v>
      </c>
      <c r="F23" s="37">
        <v>96571.0</v>
      </c>
      <c r="G23" s="38">
        <v>110360.0</v>
      </c>
      <c r="H23" s="37">
        <f t="shared" ref="H23:L23" si="26">G23*(1+H7)</f>
        <v>116609.7838</v>
      </c>
      <c r="I23" s="37">
        <f t="shared" si="26"/>
        <v>127993.8139</v>
      </c>
      <c r="J23" s="37">
        <f t="shared" si="26"/>
        <v>138722.7339</v>
      </c>
      <c r="K23" s="37">
        <f t="shared" si="26"/>
        <v>151312.6977</v>
      </c>
      <c r="L23" s="37">
        <f t="shared" si="26"/>
        <v>163751.9607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3.5" customHeight="1">
      <c r="A24" s="13" t="s">
        <v>22</v>
      </c>
      <c r="B24" s="35"/>
      <c r="C24" s="35"/>
      <c r="D24" s="35"/>
      <c r="E24" s="35"/>
      <c r="F24" s="35"/>
      <c r="G24" s="36"/>
      <c r="H24" s="37"/>
      <c r="I24" s="37"/>
      <c r="J24" s="37"/>
      <c r="K24" s="37"/>
      <c r="L24" s="37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3.5" customHeight="1">
      <c r="A25" s="13" t="s">
        <v>23</v>
      </c>
      <c r="B25" s="35" t="s">
        <v>21</v>
      </c>
      <c r="C25" s="37">
        <v>27078.0</v>
      </c>
      <c r="D25" s="37">
        <v>33038.0</v>
      </c>
      <c r="E25" s="37">
        <v>31090.0</v>
      </c>
      <c r="F25" s="37">
        <v>34261.0</v>
      </c>
      <c r="G25" s="38">
        <v>38353.0</v>
      </c>
      <c r="H25" s="37">
        <f t="shared" ref="H25:L25" si="27">H23*H8</f>
        <v>40709.00602</v>
      </c>
      <c r="I25" s="37">
        <f t="shared" si="27"/>
        <v>44557.11768</v>
      </c>
      <c r="J25" s="37">
        <f t="shared" si="27"/>
        <v>48536.4966</v>
      </c>
      <c r="K25" s="37">
        <f t="shared" si="27"/>
        <v>52756.36279</v>
      </c>
      <c r="L25" s="37">
        <f t="shared" si="27"/>
        <v>57139.73478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3.5" customHeight="1">
      <c r="A26" s="13" t="s">
        <v>24</v>
      </c>
      <c r="B26" s="35" t="s">
        <v>21</v>
      </c>
      <c r="C26" s="37">
        <v>20488.0</v>
      </c>
      <c r="D26" s="37">
        <v>20324.0</v>
      </c>
      <c r="E26" s="37">
        <v>19198.0</v>
      </c>
      <c r="F26" s="37">
        <v>18648.0</v>
      </c>
      <c r="G26" s="38">
        <v>22223.0</v>
      </c>
      <c r="H26" s="37">
        <f t="shared" ref="H26:L26" si="28">H9*H23</f>
        <v>23970.99141</v>
      </c>
      <c r="I26" s="37">
        <f t="shared" si="28"/>
        <v>25939.42411</v>
      </c>
      <c r="J26" s="37">
        <f t="shared" si="28"/>
        <v>27838.08445</v>
      </c>
      <c r="K26" s="37">
        <f t="shared" si="28"/>
        <v>30651.03264</v>
      </c>
      <c r="L26" s="37">
        <f t="shared" si="28"/>
        <v>33219.91715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3.5" customHeight="1">
      <c r="A27" s="13" t="s">
        <v>25</v>
      </c>
      <c r="B27" s="35" t="s">
        <v>21</v>
      </c>
      <c r="C27" s="37">
        <v>11381.0</v>
      </c>
      <c r="D27" s="37">
        <v>12046.0</v>
      </c>
      <c r="E27" s="37">
        <v>11988.0</v>
      </c>
      <c r="F27" s="37">
        <v>12292.0</v>
      </c>
      <c r="G27" s="38">
        <v>14726.0</v>
      </c>
      <c r="H27" s="37">
        <f t="shared" ref="H27:L27" si="29">(1+H7)*G27</f>
        <v>15559.94632</v>
      </c>
      <c r="I27" s="37">
        <f t="shared" si="29"/>
        <v>17078.98608</v>
      </c>
      <c r="J27" s="37">
        <f t="shared" si="29"/>
        <v>18510.61055</v>
      </c>
      <c r="K27" s="37">
        <f t="shared" si="29"/>
        <v>20190.5653</v>
      </c>
      <c r="L27" s="37">
        <f t="shared" si="29"/>
        <v>21850.41113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3.5" customHeight="1">
      <c r="A28" s="13" t="s">
        <v>26</v>
      </c>
      <c r="B28" s="35" t="s">
        <v>21</v>
      </c>
      <c r="C28" s="35">
        <v>233.0</v>
      </c>
      <c r="D28" s="37">
        <v>10194.0</v>
      </c>
      <c r="E28" s="37">
        <v>1432.0</v>
      </c>
      <c r="F28" s="37">
        <v>2400.0</v>
      </c>
      <c r="G28" s="36">
        <v>47.0</v>
      </c>
      <c r="H28" s="37">
        <f t="shared" ref="H28:L28" si="30">AVERAGE(E28:G28)</f>
        <v>1293</v>
      </c>
      <c r="I28" s="37">
        <f t="shared" si="30"/>
        <v>1246.666667</v>
      </c>
      <c r="J28" s="37">
        <f t="shared" si="30"/>
        <v>862.2222222</v>
      </c>
      <c r="K28" s="37">
        <f t="shared" si="30"/>
        <v>1133.962963</v>
      </c>
      <c r="L28" s="37">
        <f t="shared" si="30"/>
        <v>1080.950617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3.5" customHeight="1">
      <c r="A29" s="13" t="s">
        <v>27</v>
      </c>
      <c r="B29" s="35" t="s">
        <v>21</v>
      </c>
      <c r="C29" s="37">
        <f t="shared" ref="C29:L29" si="31">SUM(C25:C27)</f>
        <v>58947</v>
      </c>
      <c r="D29" s="37">
        <f t="shared" si="31"/>
        <v>65408</v>
      </c>
      <c r="E29" s="37">
        <f t="shared" si="31"/>
        <v>62276</v>
      </c>
      <c r="F29" s="37">
        <f t="shared" si="31"/>
        <v>65201</v>
      </c>
      <c r="G29" s="38">
        <f t="shared" si="31"/>
        <v>75302</v>
      </c>
      <c r="H29" s="37">
        <f t="shared" si="31"/>
        <v>80239.94375</v>
      </c>
      <c r="I29" s="37">
        <f t="shared" si="31"/>
        <v>87575.52787</v>
      </c>
      <c r="J29" s="37">
        <f t="shared" si="31"/>
        <v>94885.1916</v>
      </c>
      <c r="K29" s="37">
        <f t="shared" si="31"/>
        <v>103597.9607</v>
      </c>
      <c r="L29" s="37">
        <f t="shared" si="31"/>
        <v>112210.0631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3.5" customHeight="1">
      <c r="A30" s="13" t="s">
        <v>28</v>
      </c>
      <c r="B30" s="35" t="s">
        <v>21</v>
      </c>
      <c r="C30" s="37">
        <f t="shared" ref="C30:L30" si="32">C23-C28-C29</f>
        <v>27653</v>
      </c>
      <c r="D30" s="37">
        <f t="shared" si="32"/>
        <v>17978</v>
      </c>
      <c r="E30" s="37">
        <f t="shared" si="32"/>
        <v>27446</v>
      </c>
      <c r="F30" s="37">
        <f t="shared" si="32"/>
        <v>28970</v>
      </c>
      <c r="G30" s="38">
        <f t="shared" si="32"/>
        <v>35011</v>
      </c>
      <c r="H30" s="37">
        <f t="shared" si="32"/>
        <v>35076.84002</v>
      </c>
      <c r="I30" s="37">
        <f t="shared" si="32"/>
        <v>39171.61937</v>
      </c>
      <c r="J30" s="37">
        <f t="shared" si="32"/>
        <v>42975.32012</v>
      </c>
      <c r="K30" s="37">
        <f t="shared" si="32"/>
        <v>46580.77403</v>
      </c>
      <c r="L30" s="37">
        <f t="shared" si="32"/>
        <v>50460.94697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3.5" customHeight="1">
      <c r="A31" s="13" t="s">
        <v>29</v>
      </c>
      <c r="B31" s="35"/>
      <c r="C31" s="35"/>
      <c r="D31" s="35"/>
      <c r="E31" s="35"/>
      <c r="F31" s="35"/>
      <c r="G31" s="36"/>
      <c r="H31" s="37"/>
      <c r="I31" s="37"/>
      <c r="J31" s="37"/>
      <c r="K31" s="37"/>
      <c r="L31" s="37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3.5" customHeight="1">
      <c r="A32" s="13" t="s">
        <v>30</v>
      </c>
      <c r="B32" s="35" t="s">
        <v>21</v>
      </c>
      <c r="C32" s="35">
        <v>597.0</v>
      </c>
      <c r="D32" s="35">
        <v>781.0</v>
      </c>
      <c r="E32" s="37">
        <v>1243.0</v>
      </c>
      <c r="F32" s="37">
        <v>2222.0</v>
      </c>
      <c r="G32" s="38">
        <v>2733.0</v>
      </c>
      <c r="H32" s="37">
        <f t="shared" ref="H32:L32" si="33">H11*H63</f>
        <v>2271.534669</v>
      </c>
      <c r="I32" s="37">
        <f t="shared" si="33"/>
        <v>2332.181193</v>
      </c>
      <c r="J32" s="37">
        <f t="shared" si="33"/>
        <v>2361.70425</v>
      </c>
      <c r="K32" s="37">
        <f t="shared" si="33"/>
        <v>2424.605028</v>
      </c>
      <c r="L32" s="37">
        <f t="shared" si="33"/>
        <v>2347.506285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3.5" customHeight="1">
      <c r="A33" s="13" t="s">
        <v>31</v>
      </c>
      <c r="B33" s="35" t="s">
        <v>21</v>
      </c>
      <c r="C33" s="37">
        <f t="shared" ref="C33:L33" si="34">C30-C32</f>
        <v>27056</v>
      </c>
      <c r="D33" s="37">
        <f t="shared" si="34"/>
        <v>17197</v>
      </c>
      <c r="E33" s="37">
        <f t="shared" si="34"/>
        <v>26203</v>
      </c>
      <c r="F33" s="37">
        <f t="shared" si="34"/>
        <v>26748</v>
      </c>
      <c r="G33" s="38">
        <f t="shared" si="34"/>
        <v>32278</v>
      </c>
      <c r="H33" s="37">
        <f t="shared" si="34"/>
        <v>32805.30535</v>
      </c>
      <c r="I33" s="37">
        <f t="shared" si="34"/>
        <v>36839.43818</v>
      </c>
      <c r="J33" s="37">
        <f t="shared" si="34"/>
        <v>40613.61587</v>
      </c>
      <c r="K33" s="37">
        <f t="shared" si="34"/>
        <v>44156.16901</v>
      </c>
      <c r="L33" s="37">
        <f t="shared" si="34"/>
        <v>48113.44068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3.5" customHeight="1">
      <c r="A34" s="13" t="s">
        <v>32</v>
      </c>
      <c r="B34" s="35"/>
      <c r="C34" s="35"/>
      <c r="D34" s="35"/>
      <c r="E34" s="35"/>
      <c r="F34" s="35"/>
      <c r="G34" s="36"/>
      <c r="H34" s="37"/>
      <c r="I34" s="37"/>
      <c r="J34" s="37"/>
      <c r="K34" s="37"/>
      <c r="L34" s="37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3.5" customHeight="1">
      <c r="A35" s="13" t="s">
        <v>33</v>
      </c>
      <c r="B35" s="35" t="s">
        <v>21</v>
      </c>
      <c r="C35" s="37">
        <v>5746.0</v>
      </c>
      <c r="D35" s="37">
        <v>6314.0</v>
      </c>
      <c r="E35" s="37">
        <v>5100.0</v>
      </c>
      <c r="F35" s="37">
        <v>4412.0</v>
      </c>
      <c r="G35" s="38">
        <v>6203.0</v>
      </c>
      <c r="H35" s="37">
        <f t="shared" ref="H35:L35" si="35">H33*H12</f>
        <v>7536.300572</v>
      </c>
      <c r="I35" s="37">
        <f t="shared" si="35"/>
        <v>7197.352844</v>
      </c>
      <c r="J35" s="37">
        <f t="shared" si="35"/>
        <v>7942.196817</v>
      </c>
      <c r="K35" s="37">
        <f t="shared" si="35"/>
        <v>8972.845192</v>
      </c>
      <c r="L35" s="37">
        <f t="shared" si="35"/>
        <v>9909.697479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3.5" customHeight="1">
      <c r="A36" s="13" t="s">
        <v>34</v>
      </c>
      <c r="B36" s="35" t="s">
        <v>21</v>
      </c>
      <c r="C36" s="37">
        <f t="shared" ref="C36:L36" si="36">C33-C35</f>
        <v>21310</v>
      </c>
      <c r="D36" s="37">
        <f t="shared" si="36"/>
        <v>10883</v>
      </c>
      <c r="E36" s="37">
        <f t="shared" si="36"/>
        <v>21103</v>
      </c>
      <c r="F36" s="37">
        <f t="shared" si="36"/>
        <v>22336</v>
      </c>
      <c r="G36" s="38">
        <f t="shared" si="36"/>
        <v>26075</v>
      </c>
      <c r="H36" s="37">
        <f t="shared" si="36"/>
        <v>25269.00478</v>
      </c>
      <c r="I36" s="37">
        <f t="shared" si="36"/>
        <v>29642.08533</v>
      </c>
      <c r="J36" s="37">
        <f t="shared" si="36"/>
        <v>32671.41905</v>
      </c>
      <c r="K36" s="37">
        <f t="shared" si="36"/>
        <v>35183.32381</v>
      </c>
      <c r="L36" s="37">
        <f t="shared" si="36"/>
        <v>38203.74321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3.5" customHeight="1">
      <c r="A37" s="13" t="s">
        <v>35</v>
      </c>
      <c r="B37" s="35" t="s">
        <v>21</v>
      </c>
      <c r="C37" s="35">
        <v>100.0</v>
      </c>
      <c r="D37" s="35">
        <v>100.0</v>
      </c>
      <c r="E37" s="35">
        <v>100.0</v>
      </c>
      <c r="F37" s="35">
        <v>100.0</v>
      </c>
      <c r="G37" s="36">
        <v>100.0</v>
      </c>
      <c r="H37" s="37">
        <f t="shared" ref="H37:L37" si="37">AVERAGE(E37:G37)</f>
        <v>100</v>
      </c>
      <c r="I37" s="37">
        <f t="shared" si="37"/>
        <v>100</v>
      </c>
      <c r="J37" s="37">
        <f t="shared" si="37"/>
        <v>100</v>
      </c>
      <c r="K37" s="37">
        <f t="shared" si="37"/>
        <v>100</v>
      </c>
      <c r="L37" s="37">
        <f t="shared" si="37"/>
        <v>100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3.5" customHeight="1">
      <c r="A38" s="13" t="s">
        <v>36</v>
      </c>
      <c r="B38" s="35" t="s">
        <v>21</v>
      </c>
      <c r="C38" s="37">
        <f t="shared" ref="C38:L38" si="38">C36+C37</f>
        <v>21410</v>
      </c>
      <c r="D38" s="37">
        <f t="shared" si="38"/>
        <v>10983</v>
      </c>
      <c r="E38" s="37">
        <f t="shared" si="38"/>
        <v>21203</v>
      </c>
      <c r="F38" s="37">
        <f t="shared" si="38"/>
        <v>22436</v>
      </c>
      <c r="G38" s="38">
        <f t="shared" si="38"/>
        <v>26175</v>
      </c>
      <c r="H38" s="37">
        <f t="shared" si="38"/>
        <v>25369.00478</v>
      </c>
      <c r="I38" s="37">
        <f t="shared" si="38"/>
        <v>29742.08533</v>
      </c>
      <c r="J38" s="37">
        <f t="shared" si="38"/>
        <v>32771.41905</v>
      </c>
      <c r="K38" s="37">
        <f t="shared" si="38"/>
        <v>35283.32381</v>
      </c>
      <c r="L38" s="37">
        <f t="shared" si="38"/>
        <v>38303.74321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3.5" customHeight="1">
      <c r="A39" s="13" t="s">
        <v>37</v>
      </c>
      <c r="B39" s="35"/>
      <c r="C39" s="35"/>
      <c r="D39" s="35"/>
      <c r="E39" s="35"/>
      <c r="F39" s="35"/>
      <c r="G39" s="36"/>
      <c r="H39" s="37"/>
      <c r="I39" s="37"/>
      <c r="J39" s="37"/>
      <c r="K39" s="37"/>
      <c r="L39" s="37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3.5" customHeight="1">
      <c r="A40" s="13" t="s">
        <v>38</v>
      </c>
      <c r="B40" s="35" t="s">
        <v>21</v>
      </c>
      <c r="C40" s="37">
        <f t="shared" ref="C40:G40" si="39">C76</f>
        <v>8239</v>
      </c>
      <c r="D40" s="37">
        <f t="shared" si="39"/>
        <v>8027</v>
      </c>
      <c r="E40" s="37">
        <f t="shared" si="39"/>
        <v>7808</v>
      </c>
      <c r="F40" s="37">
        <f t="shared" si="39"/>
        <v>7708</v>
      </c>
      <c r="G40" s="38">
        <f t="shared" si="39"/>
        <v>7677</v>
      </c>
      <c r="H40" s="37">
        <f t="shared" ref="H40:L40" si="40">G40</f>
        <v>7677</v>
      </c>
      <c r="I40" s="37">
        <f t="shared" si="40"/>
        <v>7677</v>
      </c>
      <c r="J40" s="37">
        <f t="shared" si="40"/>
        <v>7677</v>
      </c>
      <c r="K40" s="37">
        <f t="shared" si="40"/>
        <v>7677</v>
      </c>
      <c r="L40" s="37">
        <f t="shared" si="40"/>
        <v>7677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3.5" customHeight="1">
      <c r="A41" s="13"/>
      <c r="B41" s="35"/>
      <c r="C41" s="35"/>
      <c r="D41" s="35"/>
      <c r="E41" s="35"/>
      <c r="F41" s="35"/>
      <c r="G41" s="36"/>
      <c r="H41" s="37"/>
      <c r="I41" s="37"/>
      <c r="J41" s="37"/>
      <c r="K41" s="37"/>
      <c r="L41" s="37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3.5" customHeight="1">
      <c r="A42" s="39" t="s">
        <v>39</v>
      </c>
      <c r="B42" s="40" t="s">
        <v>21</v>
      </c>
      <c r="C42" s="41">
        <f t="shared" ref="C42:L42" si="41">C38/C40</f>
        <v>2.598616337</v>
      </c>
      <c r="D42" s="41">
        <f t="shared" si="41"/>
        <v>1.368257132</v>
      </c>
      <c r="E42" s="41">
        <f t="shared" si="41"/>
        <v>2.715548156</v>
      </c>
      <c r="F42" s="41">
        <f t="shared" si="41"/>
        <v>2.910742086</v>
      </c>
      <c r="G42" s="42">
        <f t="shared" si="41"/>
        <v>3.409534975</v>
      </c>
      <c r="H42" s="41">
        <f t="shared" si="41"/>
        <v>3.304546669</v>
      </c>
      <c r="I42" s="41">
        <f t="shared" si="41"/>
        <v>3.874180713</v>
      </c>
      <c r="J42" s="41">
        <f t="shared" si="41"/>
        <v>4.268779348</v>
      </c>
      <c r="K42" s="41">
        <f t="shared" si="41"/>
        <v>4.595978092</v>
      </c>
      <c r="L42" s="41">
        <f t="shared" si="41"/>
        <v>4.989415554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3.5" customHeight="1">
      <c r="A43" s="13"/>
      <c r="B43" s="35"/>
      <c r="C43" s="43"/>
      <c r="D43" s="43"/>
      <c r="E43" s="43"/>
      <c r="F43" s="43"/>
      <c r="G43" s="44"/>
      <c r="H43" s="35"/>
      <c r="I43" s="35"/>
      <c r="J43" s="35"/>
      <c r="K43" s="35"/>
      <c r="L43" s="3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3.5" customHeight="1">
      <c r="A44" s="34" t="s">
        <v>40</v>
      </c>
      <c r="B44" s="35"/>
      <c r="C44" s="35"/>
      <c r="D44" s="35"/>
      <c r="E44" s="35"/>
      <c r="F44" s="35"/>
      <c r="G44" s="36"/>
      <c r="H44" s="35"/>
      <c r="I44" s="35"/>
      <c r="J44" s="35"/>
      <c r="K44" s="35"/>
      <c r="L44" s="3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3.5" customHeight="1">
      <c r="A45" s="13" t="s">
        <v>41</v>
      </c>
      <c r="B45" s="35"/>
      <c r="C45" s="35"/>
      <c r="D45" s="35"/>
      <c r="E45" s="35"/>
      <c r="F45" s="35"/>
      <c r="G45" s="36"/>
      <c r="H45" s="35"/>
      <c r="I45" s="35"/>
      <c r="J45" s="35"/>
      <c r="K45" s="35"/>
      <c r="L45" s="3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3.5" customHeight="1">
      <c r="A46" s="13" t="s">
        <v>42</v>
      </c>
      <c r="B46" s="35" t="s">
        <v>21</v>
      </c>
      <c r="C46" s="37">
        <v>8669.0</v>
      </c>
      <c r="D46" s="37">
        <v>5595.0</v>
      </c>
      <c r="E46" s="37">
        <v>6510.0</v>
      </c>
      <c r="F46" s="37">
        <v>7663.0</v>
      </c>
      <c r="G46" s="38">
        <v>11946.0</v>
      </c>
      <c r="H46" s="37">
        <f t="shared" ref="H46:L46" si="42">G46*(1+$H$14)</f>
        <v>12543.3</v>
      </c>
      <c r="I46" s="37">
        <f t="shared" si="42"/>
        <v>13170.465</v>
      </c>
      <c r="J46" s="37">
        <f t="shared" si="42"/>
        <v>13828.98825</v>
      </c>
      <c r="K46" s="37">
        <f t="shared" si="42"/>
        <v>14520.43766</v>
      </c>
      <c r="L46" s="37">
        <f t="shared" si="42"/>
        <v>15246.45955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3.5" customHeight="1">
      <c r="A47" s="39" t="s">
        <v>43</v>
      </c>
      <c r="B47" s="40" t="s">
        <v>21</v>
      </c>
      <c r="C47" s="45">
        <v>76796.0</v>
      </c>
      <c r="D47" s="45">
        <v>90687.0</v>
      </c>
      <c r="E47" s="45">
        <v>106657.0</v>
      </c>
      <c r="F47" s="45">
        <v>125218.0</v>
      </c>
      <c r="G47" s="46">
        <v>121704.0</v>
      </c>
      <c r="H47" s="47">
        <f t="shared" ref="H47:L47" si="43">G47*(1+$H$14)</f>
        <v>127789.2</v>
      </c>
      <c r="I47" s="47">
        <f t="shared" si="43"/>
        <v>134178.66</v>
      </c>
      <c r="J47" s="47">
        <f t="shared" si="43"/>
        <v>140887.593</v>
      </c>
      <c r="K47" s="47">
        <f t="shared" si="43"/>
        <v>147931.9727</v>
      </c>
      <c r="L47" s="47">
        <f t="shared" si="43"/>
        <v>155328.5713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3.5" customHeight="1">
      <c r="A48" s="13" t="s">
        <v>44</v>
      </c>
      <c r="B48" s="35" t="s">
        <v>21</v>
      </c>
      <c r="C48" s="37">
        <f t="shared" ref="C48:L48" si="44">SUM(C46:C47)</f>
        <v>85465</v>
      </c>
      <c r="D48" s="37">
        <f t="shared" si="44"/>
        <v>96282</v>
      </c>
      <c r="E48" s="37">
        <f t="shared" si="44"/>
        <v>113167</v>
      </c>
      <c r="F48" s="37">
        <f t="shared" si="44"/>
        <v>132881</v>
      </c>
      <c r="G48" s="48">
        <f t="shared" si="44"/>
        <v>133650</v>
      </c>
      <c r="H48" s="37">
        <f t="shared" si="44"/>
        <v>140332.5</v>
      </c>
      <c r="I48" s="37">
        <f t="shared" si="44"/>
        <v>147349.125</v>
      </c>
      <c r="J48" s="37">
        <f t="shared" si="44"/>
        <v>154716.5813</v>
      </c>
      <c r="K48" s="37">
        <f t="shared" si="44"/>
        <v>162452.4103</v>
      </c>
      <c r="L48" s="37">
        <f t="shared" si="44"/>
        <v>170575.0308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3.5" customHeight="1">
      <c r="A49" s="13" t="s">
        <v>45</v>
      </c>
      <c r="B49" s="35" t="s">
        <v>21</v>
      </c>
      <c r="C49" s="37">
        <v>19544.0</v>
      </c>
      <c r="D49" s="37">
        <v>17918.0</v>
      </c>
      <c r="E49" s="37">
        <v>18277.0</v>
      </c>
      <c r="F49" s="37">
        <v>22431.0</v>
      </c>
      <c r="G49" s="38">
        <v>26481.0</v>
      </c>
      <c r="H49" s="37">
        <f t="shared" ref="H49:L49" si="45">G49</f>
        <v>26481</v>
      </c>
      <c r="I49" s="37">
        <f t="shared" si="45"/>
        <v>26481</v>
      </c>
      <c r="J49" s="37">
        <f t="shared" si="45"/>
        <v>26481</v>
      </c>
      <c r="K49" s="37">
        <f t="shared" si="45"/>
        <v>26481</v>
      </c>
      <c r="L49" s="37">
        <f t="shared" si="45"/>
        <v>26481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3.5" customHeight="1">
      <c r="A50" s="13" t="s">
        <v>46</v>
      </c>
      <c r="B50" s="35" t="s">
        <v>21</v>
      </c>
      <c r="C50" s="37">
        <v>2660.0</v>
      </c>
      <c r="D50" s="37">
        <v>2902.0</v>
      </c>
      <c r="E50" s="37">
        <v>2251.0</v>
      </c>
      <c r="F50" s="37">
        <v>2181.0</v>
      </c>
      <c r="G50" s="38">
        <v>2662.0</v>
      </c>
      <c r="H50" s="37">
        <f t="shared" ref="H50:L50" si="46">G50</f>
        <v>2662</v>
      </c>
      <c r="I50" s="37">
        <f t="shared" si="46"/>
        <v>2662</v>
      </c>
      <c r="J50" s="37">
        <f t="shared" si="46"/>
        <v>2662</v>
      </c>
      <c r="K50" s="37">
        <f t="shared" si="46"/>
        <v>2662</v>
      </c>
      <c r="L50" s="37">
        <f t="shared" si="46"/>
        <v>2662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3.5" customHeight="1">
      <c r="A51" s="13" t="s">
        <v>47</v>
      </c>
      <c r="B51" s="35" t="s">
        <v>21</v>
      </c>
      <c r="C51" s="37">
        <v>6577.0</v>
      </c>
      <c r="D51" s="37">
        <v>5705.0</v>
      </c>
      <c r="E51" s="37">
        <v>5965.0</v>
      </c>
      <c r="F51" s="37">
        <v>5203.0</v>
      </c>
      <c r="G51" s="38">
        <v>6869.0</v>
      </c>
      <c r="H51" s="37">
        <f t="shared" ref="H51:L51" si="47">G51</f>
        <v>6869</v>
      </c>
      <c r="I51" s="37">
        <f t="shared" si="47"/>
        <v>6869</v>
      </c>
      <c r="J51" s="37">
        <f t="shared" si="47"/>
        <v>6869</v>
      </c>
      <c r="K51" s="37">
        <f t="shared" si="47"/>
        <v>6869</v>
      </c>
      <c r="L51" s="37">
        <f t="shared" si="47"/>
        <v>6869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3.5" customHeight="1">
      <c r="A52" s="13" t="s">
        <v>48</v>
      </c>
      <c r="B52" s="35" t="s">
        <v>21</v>
      </c>
      <c r="C52" s="37">
        <f t="shared" ref="C52:L52" si="48">SUM(C48:C51)</f>
        <v>114246</v>
      </c>
      <c r="D52" s="37">
        <f t="shared" si="48"/>
        <v>122807</v>
      </c>
      <c r="E52" s="37">
        <f t="shared" si="48"/>
        <v>139660</v>
      </c>
      <c r="F52" s="37">
        <f t="shared" si="48"/>
        <v>162696</v>
      </c>
      <c r="G52" s="38">
        <f t="shared" si="48"/>
        <v>169662</v>
      </c>
      <c r="H52" s="37">
        <f t="shared" si="48"/>
        <v>176344.5</v>
      </c>
      <c r="I52" s="37">
        <f t="shared" si="48"/>
        <v>183361.125</v>
      </c>
      <c r="J52" s="37">
        <f t="shared" si="48"/>
        <v>190728.5813</v>
      </c>
      <c r="K52" s="37">
        <f t="shared" si="48"/>
        <v>198464.4103</v>
      </c>
      <c r="L52" s="37">
        <f t="shared" si="48"/>
        <v>206587.0308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3.5" customHeight="1">
      <c r="A53" s="13" t="s">
        <v>49</v>
      </c>
      <c r="B53" s="35" t="s">
        <v>21</v>
      </c>
      <c r="C53" s="37">
        <v>27804.0</v>
      </c>
      <c r="D53" s="37">
        <v>32337.0</v>
      </c>
      <c r="E53" s="37">
        <v>38156.0</v>
      </c>
      <c r="F53" s="37">
        <v>47913.0</v>
      </c>
      <c r="G53" s="38">
        <v>58683.0</v>
      </c>
      <c r="H53" s="37">
        <f t="shared" ref="H53:L53" si="49">G53</f>
        <v>58683</v>
      </c>
      <c r="I53" s="37">
        <f t="shared" si="49"/>
        <v>58683</v>
      </c>
      <c r="J53" s="37">
        <f t="shared" si="49"/>
        <v>58683</v>
      </c>
      <c r="K53" s="37">
        <f t="shared" si="49"/>
        <v>58683</v>
      </c>
      <c r="L53" s="37">
        <f t="shared" si="49"/>
        <v>58683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3.5" customHeight="1">
      <c r="A54" s="13" t="s">
        <v>50</v>
      </c>
      <c r="B54" s="35" t="s">
        <v>21</v>
      </c>
      <c r="C54" s="37">
        <v>-14793.0</v>
      </c>
      <c r="D54" s="37">
        <v>-17606.0</v>
      </c>
      <c r="E54" s="37">
        <v>-19800.0</v>
      </c>
      <c r="F54" s="37">
        <v>-24179.0</v>
      </c>
      <c r="G54" s="38">
        <v>-29223.0</v>
      </c>
      <c r="H54" s="37">
        <f t="shared" ref="H54:L54" si="50">G54</f>
        <v>-29223</v>
      </c>
      <c r="I54" s="37">
        <f t="shared" si="50"/>
        <v>-29223</v>
      </c>
      <c r="J54" s="37">
        <f t="shared" si="50"/>
        <v>-29223</v>
      </c>
      <c r="K54" s="37">
        <f t="shared" si="50"/>
        <v>-29223</v>
      </c>
      <c r="L54" s="37">
        <f t="shared" si="50"/>
        <v>-29223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3.5" customHeight="1">
      <c r="A55" s="13" t="s">
        <v>51</v>
      </c>
      <c r="B55" s="35" t="s">
        <v>21</v>
      </c>
      <c r="C55" s="37">
        <f t="shared" ref="C55:L55" si="51">SUM(C53:C54)</f>
        <v>13011</v>
      </c>
      <c r="D55" s="37">
        <f t="shared" si="51"/>
        <v>14731</v>
      </c>
      <c r="E55" s="37">
        <f t="shared" si="51"/>
        <v>18356</v>
      </c>
      <c r="F55" s="37">
        <f t="shared" si="51"/>
        <v>23734</v>
      </c>
      <c r="G55" s="38">
        <f t="shared" si="51"/>
        <v>29460</v>
      </c>
      <c r="H55" s="37">
        <f t="shared" si="51"/>
        <v>29460</v>
      </c>
      <c r="I55" s="37">
        <f t="shared" si="51"/>
        <v>29460</v>
      </c>
      <c r="J55" s="37">
        <f t="shared" si="51"/>
        <v>29460</v>
      </c>
      <c r="K55" s="37">
        <f t="shared" si="51"/>
        <v>29460</v>
      </c>
      <c r="L55" s="37">
        <f t="shared" si="51"/>
        <v>29460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3.5" customHeight="1">
      <c r="A56" s="13" t="s">
        <v>52</v>
      </c>
      <c r="B56" s="35" t="s">
        <v>21</v>
      </c>
      <c r="C56" s="37">
        <v>20127.0</v>
      </c>
      <c r="D56" s="37">
        <v>16939.0</v>
      </c>
      <c r="E56" s="37">
        <v>17872.0</v>
      </c>
      <c r="F56" s="37">
        <v>35122.0</v>
      </c>
      <c r="G56" s="38">
        <v>35683.0</v>
      </c>
      <c r="H56" s="37">
        <f t="shared" ref="H56:L56" si="52">G56</f>
        <v>35683</v>
      </c>
      <c r="I56" s="37">
        <f t="shared" si="52"/>
        <v>35683</v>
      </c>
      <c r="J56" s="37">
        <f t="shared" si="52"/>
        <v>35683</v>
      </c>
      <c r="K56" s="37">
        <f t="shared" si="52"/>
        <v>35683</v>
      </c>
      <c r="L56" s="37">
        <f t="shared" si="52"/>
        <v>35683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3.5" customHeight="1">
      <c r="A57" s="13" t="s">
        <v>53</v>
      </c>
      <c r="B57" s="35" t="s">
        <v>21</v>
      </c>
      <c r="C57" s="37">
        <v>6981.0</v>
      </c>
      <c r="D57" s="37">
        <v>4835.0</v>
      </c>
      <c r="E57" s="37">
        <v>3733.0</v>
      </c>
      <c r="F57" s="37">
        <v>10106.0</v>
      </c>
      <c r="G57" s="38">
        <v>8053.0</v>
      </c>
      <c r="H57" s="37">
        <f t="shared" ref="H57:L57" si="53">G57</f>
        <v>8053</v>
      </c>
      <c r="I57" s="37">
        <f t="shared" si="53"/>
        <v>8053</v>
      </c>
      <c r="J57" s="37">
        <f t="shared" si="53"/>
        <v>8053</v>
      </c>
      <c r="K57" s="37">
        <f t="shared" si="53"/>
        <v>8053</v>
      </c>
      <c r="L57" s="37">
        <f t="shared" si="53"/>
        <v>8053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3.5" customHeight="1">
      <c r="A58" s="13" t="s">
        <v>54</v>
      </c>
      <c r="B58" s="35" t="s">
        <v>21</v>
      </c>
      <c r="C58" s="37">
        <v>14590.0</v>
      </c>
      <c r="D58" s="37">
        <v>12028.0</v>
      </c>
      <c r="E58" s="37">
        <v>10413.0</v>
      </c>
      <c r="F58" s="37">
        <v>5956.0</v>
      </c>
      <c r="G58" s="38">
        <v>1862.0</v>
      </c>
      <c r="H58" s="37">
        <f t="shared" ref="H58:L58" si="54">G58</f>
        <v>1862</v>
      </c>
      <c r="I58" s="37">
        <f t="shared" si="54"/>
        <v>1862</v>
      </c>
      <c r="J58" s="37">
        <f t="shared" si="54"/>
        <v>1862</v>
      </c>
      <c r="K58" s="37">
        <f t="shared" si="54"/>
        <v>1862</v>
      </c>
      <c r="L58" s="37">
        <f t="shared" si="54"/>
        <v>1862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3.5" customHeight="1">
      <c r="A59" s="13" t="s">
        <v>55</v>
      </c>
      <c r="B59" s="35" t="s">
        <v>21</v>
      </c>
      <c r="C59" s="37">
        <v>3429.0</v>
      </c>
      <c r="D59" s="37">
        <v>2900.0</v>
      </c>
      <c r="E59" s="37">
        <v>3215.0</v>
      </c>
      <c r="F59" s="37">
        <v>4443.0</v>
      </c>
      <c r="G59" s="38">
        <v>5642.0</v>
      </c>
      <c r="H59" s="37">
        <f t="shared" ref="H59:L59" si="55">G59</f>
        <v>5642</v>
      </c>
      <c r="I59" s="37">
        <f t="shared" si="55"/>
        <v>5642</v>
      </c>
      <c r="J59" s="37">
        <f t="shared" si="55"/>
        <v>5642</v>
      </c>
      <c r="K59" s="37">
        <f t="shared" si="55"/>
        <v>5642</v>
      </c>
      <c r="L59" s="37">
        <f t="shared" si="55"/>
        <v>5642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3.5" customHeight="1">
      <c r="A60" s="13" t="s">
        <v>56</v>
      </c>
      <c r="B60" s="35" t="s">
        <v>21</v>
      </c>
      <c r="C60" s="49">
        <f t="shared" ref="C60:L60" si="56">C52+SUM(C55:C59)</f>
        <v>172384</v>
      </c>
      <c r="D60" s="49">
        <f t="shared" si="56"/>
        <v>174240</v>
      </c>
      <c r="E60" s="49">
        <f t="shared" si="56"/>
        <v>193249</v>
      </c>
      <c r="F60" s="49">
        <f t="shared" si="56"/>
        <v>242057</v>
      </c>
      <c r="G60" s="50">
        <f t="shared" si="56"/>
        <v>250362</v>
      </c>
      <c r="H60" s="49">
        <f t="shared" si="56"/>
        <v>257044.5</v>
      </c>
      <c r="I60" s="49">
        <f t="shared" si="56"/>
        <v>264061.125</v>
      </c>
      <c r="J60" s="49">
        <f t="shared" si="56"/>
        <v>271428.5813</v>
      </c>
      <c r="K60" s="49">
        <f t="shared" si="56"/>
        <v>279164.4103</v>
      </c>
      <c r="L60" s="50">
        <f t="shared" si="56"/>
        <v>287287.0308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3.5" customHeight="1">
      <c r="A61" s="13" t="s">
        <v>57</v>
      </c>
      <c r="B61" s="35"/>
      <c r="C61" s="35"/>
      <c r="D61" s="35"/>
      <c r="E61" s="35"/>
      <c r="F61" s="35"/>
      <c r="G61" s="36"/>
      <c r="H61" s="37" t="str">
        <f t="shared" ref="H61:L61" si="57">G61</f>
        <v/>
      </c>
      <c r="I61" s="37" t="str">
        <f t="shared" si="57"/>
        <v/>
      </c>
      <c r="J61" s="37" t="str">
        <f t="shared" si="57"/>
        <v/>
      </c>
      <c r="K61" s="37" t="str">
        <f t="shared" si="57"/>
        <v/>
      </c>
      <c r="L61" s="37" t="str">
        <f t="shared" si="57"/>
        <v/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3.5" customHeight="1">
      <c r="A62" s="13" t="s">
        <v>58</v>
      </c>
      <c r="B62" s="35" t="s">
        <v>21</v>
      </c>
      <c r="C62" s="37">
        <v>45625.0</v>
      </c>
      <c r="D62" s="37">
        <v>49647.0</v>
      </c>
      <c r="E62" s="37">
        <v>59357.0</v>
      </c>
      <c r="F62" s="37">
        <v>55745.0</v>
      </c>
      <c r="G62" s="38">
        <v>58488.0</v>
      </c>
      <c r="H62" s="37">
        <f t="shared" ref="H62:L62" si="58">G62</f>
        <v>58488</v>
      </c>
      <c r="I62" s="37">
        <f t="shared" si="58"/>
        <v>58488</v>
      </c>
      <c r="J62" s="37">
        <f t="shared" si="58"/>
        <v>58488</v>
      </c>
      <c r="K62" s="37">
        <f t="shared" si="58"/>
        <v>58488</v>
      </c>
      <c r="L62" s="37">
        <f t="shared" si="58"/>
        <v>58488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3.5" customHeight="1">
      <c r="A63" s="13" t="s">
        <v>59</v>
      </c>
      <c r="B63" s="35" t="s">
        <v>21</v>
      </c>
      <c r="C63" s="37">
        <v>20645.0</v>
      </c>
      <c r="D63" s="37">
        <v>27808.0</v>
      </c>
      <c r="E63" s="37">
        <v>40557.0</v>
      </c>
      <c r="F63" s="37">
        <v>76073.0</v>
      </c>
      <c r="G63" s="38">
        <v>72242.0</v>
      </c>
      <c r="H63" s="37">
        <f t="shared" ref="H63:L63" si="59">G63</f>
        <v>72242</v>
      </c>
      <c r="I63" s="37">
        <f t="shared" si="59"/>
        <v>72242</v>
      </c>
      <c r="J63" s="37">
        <f t="shared" si="59"/>
        <v>72242</v>
      </c>
      <c r="K63" s="37">
        <f t="shared" si="59"/>
        <v>72242</v>
      </c>
      <c r="L63" s="37">
        <f t="shared" si="59"/>
        <v>72242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3.5" customHeight="1">
      <c r="A64" s="13" t="s">
        <v>60</v>
      </c>
      <c r="B64" s="35" t="s">
        <v>21</v>
      </c>
      <c r="C64" s="35" t="s">
        <v>61</v>
      </c>
      <c r="D64" s="35" t="s">
        <v>61</v>
      </c>
      <c r="E64" s="35">
        <v>761.0</v>
      </c>
      <c r="F64" s="37">
        <v>2425.0</v>
      </c>
      <c r="G64" s="38">
        <v>4125.0</v>
      </c>
      <c r="H64" s="37">
        <f t="shared" ref="H64:L64" si="60">G64</f>
        <v>4125</v>
      </c>
      <c r="I64" s="37">
        <f t="shared" si="60"/>
        <v>4125</v>
      </c>
      <c r="J64" s="37">
        <f t="shared" si="60"/>
        <v>4125</v>
      </c>
      <c r="K64" s="37">
        <f t="shared" si="60"/>
        <v>4125</v>
      </c>
      <c r="L64" s="37">
        <f t="shared" si="60"/>
        <v>4125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3.5" customHeight="1">
      <c r="A65" s="13" t="s">
        <v>62</v>
      </c>
      <c r="B65" s="35" t="s">
        <v>21</v>
      </c>
      <c r="C65" s="37">
        <f t="shared" ref="C65:G65" si="61">SUM(C63:C64)</f>
        <v>20645</v>
      </c>
      <c r="D65" s="37">
        <f t="shared" si="61"/>
        <v>27808</v>
      </c>
      <c r="E65" s="37">
        <f t="shared" si="61"/>
        <v>41318</v>
      </c>
      <c r="F65" s="37">
        <f t="shared" si="61"/>
        <v>78498</v>
      </c>
      <c r="G65" s="38">
        <f t="shared" si="61"/>
        <v>76367</v>
      </c>
      <c r="H65" s="37">
        <f t="shared" ref="H65:L65" si="62">G65</f>
        <v>76367</v>
      </c>
      <c r="I65" s="37">
        <f t="shared" si="62"/>
        <v>76367</v>
      </c>
      <c r="J65" s="37">
        <f t="shared" si="62"/>
        <v>76367</v>
      </c>
      <c r="K65" s="37">
        <f t="shared" si="62"/>
        <v>76367</v>
      </c>
      <c r="L65" s="37">
        <f t="shared" si="62"/>
        <v>76367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3.5" customHeight="1">
      <c r="A66" s="13" t="s">
        <v>63</v>
      </c>
      <c r="B66" s="35" t="s">
        <v>21</v>
      </c>
      <c r="C66" s="37">
        <v>2728.0</v>
      </c>
      <c r="D66" s="37">
        <v>1295.0</v>
      </c>
      <c r="E66" s="37">
        <v>1476.0</v>
      </c>
      <c r="F66" s="37">
        <v>5734.0</v>
      </c>
      <c r="G66" s="36">
        <v>541.0</v>
      </c>
      <c r="H66" s="37">
        <f t="shared" ref="H66:L66" si="63">G66</f>
        <v>541</v>
      </c>
      <c r="I66" s="37">
        <f t="shared" si="63"/>
        <v>541</v>
      </c>
      <c r="J66" s="37">
        <f t="shared" si="63"/>
        <v>541</v>
      </c>
      <c r="K66" s="37">
        <f t="shared" si="63"/>
        <v>541</v>
      </c>
      <c r="L66" s="37">
        <f t="shared" si="63"/>
        <v>541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3.5" customHeight="1">
      <c r="A67" s="13" t="s">
        <v>64</v>
      </c>
      <c r="B67" s="35" t="s">
        <v>21</v>
      </c>
      <c r="C67" s="37">
        <v>13602.0</v>
      </c>
      <c r="D67" s="37">
        <v>15639.0</v>
      </c>
      <c r="E67" s="37">
        <v>19320.0</v>
      </c>
      <c r="F67" s="37">
        <v>22624.0</v>
      </c>
      <c r="G67" s="38">
        <v>40734.0</v>
      </c>
      <c r="H67" s="37">
        <f t="shared" ref="H67:L67" si="64">G67</f>
        <v>40734</v>
      </c>
      <c r="I67" s="37">
        <f t="shared" si="64"/>
        <v>40734</v>
      </c>
      <c r="J67" s="37">
        <f t="shared" si="64"/>
        <v>40734</v>
      </c>
      <c r="K67" s="37">
        <f t="shared" si="64"/>
        <v>40734</v>
      </c>
      <c r="L67" s="37">
        <f t="shared" si="64"/>
        <v>40734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3.5" customHeight="1">
      <c r="A68" s="13" t="s">
        <v>65</v>
      </c>
      <c r="B68" s="35" t="s">
        <v>21</v>
      </c>
      <c r="C68" s="37">
        <f t="shared" ref="C68:G68" si="65">C62+SUM(C65:C67)</f>
        <v>82600</v>
      </c>
      <c r="D68" s="37">
        <f t="shared" si="65"/>
        <v>94389</v>
      </c>
      <c r="E68" s="37">
        <f t="shared" si="65"/>
        <v>121471</v>
      </c>
      <c r="F68" s="37">
        <f t="shared" si="65"/>
        <v>162601</v>
      </c>
      <c r="G68" s="38">
        <f t="shared" si="65"/>
        <v>176130</v>
      </c>
      <c r="H68" s="37">
        <f t="shared" ref="H68:L68" si="66">G68</f>
        <v>176130</v>
      </c>
      <c r="I68" s="37">
        <f t="shared" si="66"/>
        <v>176130</v>
      </c>
      <c r="J68" s="37">
        <f t="shared" si="66"/>
        <v>176130</v>
      </c>
      <c r="K68" s="37">
        <f t="shared" si="66"/>
        <v>176130</v>
      </c>
      <c r="L68" s="37">
        <f t="shared" si="66"/>
        <v>176130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3.5" customHeight="1">
      <c r="A69" s="13" t="s">
        <v>66</v>
      </c>
      <c r="B69" s="35"/>
      <c r="C69" s="35"/>
      <c r="D69" s="35"/>
      <c r="E69" s="35"/>
      <c r="F69" s="35"/>
      <c r="G69" s="36"/>
      <c r="H69" s="37" t="str">
        <f t="shared" ref="H69:L69" si="67">G69</f>
        <v/>
      </c>
      <c r="I69" s="37" t="str">
        <f t="shared" si="67"/>
        <v/>
      </c>
      <c r="J69" s="37" t="str">
        <f t="shared" si="67"/>
        <v/>
      </c>
      <c r="K69" s="37" t="str">
        <f t="shared" si="67"/>
        <v/>
      </c>
      <c r="L69" s="37" t="str">
        <f t="shared" si="67"/>
        <v/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3.5" customHeight="1">
      <c r="A70" s="13" t="s">
        <v>67</v>
      </c>
      <c r="B70" s="35" t="s">
        <v>21</v>
      </c>
      <c r="C70" s="37">
        <v>51494.0</v>
      </c>
      <c r="D70" s="37">
        <v>50169.0</v>
      </c>
      <c r="E70" s="37">
        <v>48800.0</v>
      </c>
      <c r="F70" s="37">
        <v>48175.0</v>
      </c>
      <c r="G70" s="38">
        <v>47981.0</v>
      </c>
      <c r="H70" s="37">
        <f t="shared" ref="H70:L70" si="68">G70</f>
        <v>47981</v>
      </c>
      <c r="I70" s="37">
        <f t="shared" si="68"/>
        <v>47981</v>
      </c>
      <c r="J70" s="37">
        <f t="shared" si="68"/>
        <v>47981</v>
      </c>
      <c r="K70" s="37">
        <f t="shared" si="68"/>
        <v>47981</v>
      </c>
      <c r="L70" s="37">
        <f t="shared" si="68"/>
        <v>47981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3.5" customHeight="1">
      <c r="A71" s="13" t="s">
        <v>68</v>
      </c>
      <c r="B71" s="35" t="s">
        <v>21</v>
      </c>
      <c r="C71" s="37">
        <v>16872.0</v>
      </c>
      <c r="D71" s="37">
        <v>18296.0</v>
      </c>
      <c r="E71" s="37">
        <v>19378.0</v>
      </c>
      <c r="F71" s="37">
        <v>21140.0</v>
      </c>
      <c r="G71" s="38">
        <v>23242.0</v>
      </c>
      <c r="H71" s="37">
        <f t="shared" ref="H71:L71" si="69">G71</f>
        <v>23242</v>
      </c>
      <c r="I71" s="37">
        <f t="shared" si="69"/>
        <v>23242</v>
      </c>
      <c r="J71" s="37">
        <f t="shared" si="69"/>
        <v>23242</v>
      </c>
      <c r="K71" s="37">
        <f t="shared" si="69"/>
        <v>23242</v>
      </c>
      <c r="L71" s="37">
        <f t="shared" si="69"/>
        <v>23242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3.5" customHeight="1">
      <c r="A72" s="13" t="s">
        <v>69</v>
      </c>
      <c r="B72" s="35" t="s">
        <v>21</v>
      </c>
      <c r="C72" s="37">
        <f>1000+C38+C94</f>
        <v>13531</v>
      </c>
      <c r="D72" s="37">
        <f t="shared" ref="D72:L72" si="70">C72+D38+D94</f>
        <v>14632</v>
      </c>
      <c r="E72" s="37">
        <f t="shared" si="70"/>
        <v>24829</v>
      </c>
      <c r="F72" s="37">
        <f t="shared" si="70"/>
        <v>35420</v>
      </c>
      <c r="G72" s="38">
        <f t="shared" si="70"/>
        <v>48896</v>
      </c>
      <c r="H72" s="37">
        <f t="shared" si="70"/>
        <v>61566.00478</v>
      </c>
      <c r="I72" s="37">
        <f t="shared" si="70"/>
        <v>78609.09011</v>
      </c>
      <c r="J72" s="37">
        <f t="shared" si="70"/>
        <v>98681.50916</v>
      </c>
      <c r="K72" s="37">
        <f t="shared" si="70"/>
        <v>121265.833</v>
      </c>
      <c r="L72" s="37">
        <f t="shared" si="70"/>
        <v>146870.5762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3.5" customHeight="1">
      <c r="A73" s="13" t="s">
        <v>70</v>
      </c>
      <c r="B73" s="35" t="s">
        <v>21</v>
      </c>
      <c r="C73" s="37">
        <v>3531.0</v>
      </c>
      <c r="D73" s="37">
        <v>3169.0</v>
      </c>
      <c r="E73" s="37">
        <v>2941.0</v>
      </c>
      <c r="F73" s="37">
        <v>1825.0</v>
      </c>
      <c r="G73" s="36">
        <v>-892.0</v>
      </c>
      <c r="H73" s="37">
        <f t="shared" ref="H73:L73" si="71">G73</f>
        <v>-892</v>
      </c>
      <c r="I73" s="37">
        <f t="shared" si="71"/>
        <v>-892</v>
      </c>
      <c r="J73" s="37">
        <f t="shared" si="71"/>
        <v>-892</v>
      </c>
      <c r="K73" s="37">
        <f t="shared" si="71"/>
        <v>-892</v>
      </c>
      <c r="L73" s="37">
        <f t="shared" si="71"/>
        <v>-892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3.5" customHeight="1">
      <c r="A74" s="13" t="s">
        <v>71</v>
      </c>
      <c r="B74" s="35" t="s">
        <v>21</v>
      </c>
      <c r="C74" s="37">
        <f t="shared" ref="C74:L74" si="72">SUM(C70:C73)</f>
        <v>85428</v>
      </c>
      <c r="D74" s="37">
        <f t="shared" si="72"/>
        <v>86266</v>
      </c>
      <c r="E74" s="37">
        <f t="shared" si="72"/>
        <v>95948</v>
      </c>
      <c r="F74" s="37">
        <f t="shared" si="72"/>
        <v>106560</v>
      </c>
      <c r="G74" s="38">
        <f t="shared" si="72"/>
        <v>119227</v>
      </c>
      <c r="H74" s="37">
        <f t="shared" si="72"/>
        <v>131897.0048</v>
      </c>
      <c r="I74" s="37">
        <f t="shared" si="72"/>
        <v>148940.0901</v>
      </c>
      <c r="J74" s="37">
        <f t="shared" si="72"/>
        <v>169012.5092</v>
      </c>
      <c r="K74" s="37">
        <f t="shared" si="72"/>
        <v>191596.833</v>
      </c>
      <c r="L74" s="37">
        <f t="shared" si="72"/>
        <v>217201.5762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3.5" customHeight="1">
      <c r="A75" s="13" t="s">
        <v>72</v>
      </c>
      <c r="B75" s="35" t="s">
        <v>21</v>
      </c>
      <c r="C75" s="49">
        <f t="shared" ref="C75:L75" si="73">C74+C68</f>
        <v>168028</v>
      </c>
      <c r="D75" s="49">
        <f t="shared" si="73"/>
        <v>180655</v>
      </c>
      <c r="E75" s="49">
        <f t="shared" si="73"/>
        <v>217419</v>
      </c>
      <c r="F75" s="49">
        <f t="shared" si="73"/>
        <v>269161</v>
      </c>
      <c r="G75" s="50">
        <f t="shared" si="73"/>
        <v>295357</v>
      </c>
      <c r="H75" s="49">
        <f t="shared" si="73"/>
        <v>308027.0048</v>
      </c>
      <c r="I75" s="49">
        <f t="shared" si="73"/>
        <v>325070.0901</v>
      </c>
      <c r="J75" s="49">
        <f t="shared" si="73"/>
        <v>345142.5092</v>
      </c>
      <c r="K75" s="49">
        <f t="shared" si="73"/>
        <v>367726.833</v>
      </c>
      <c r="L75" s="49">
        <f t="shared" si="73"/>
        <v>393331.5762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3.5" customHeight="1">
      <c r="A76" s="39" t="s">
        <v>73</v>
      </c>
      <c r="B76" s="40" t="s">
        <v>21</v>
      </c>
      <c r="C76" s="45">
        <v>8239.0</v>
      </c>
      <c r="D76" s="45">
        <v>8027.0</v>
      </c>
      <c r="E76" s="45">
        <v>7808.0</v>
      </c>
      <c r="F76" s="45">
        <v>7708.0</v>
      </c>
      <c r="G76" s="46">
        <v>7677.0</v>
      </c>
      <c r="H76" s="47">
        <f t="shared" ref="H76:L76" si="74">G76</f>
        <v>7677</v>
      </c>
      <c r="I76" s="45">
        <f t="shared" si="74"/>
        <v>7677</v>
      </c>
      <c r="J76" s="45">
        <f t="shared" si="74"/>
        <v>7677</v>
      </c>
      <c r="K76" s="45">
        <f t="shared" si="74"/>
        <v>7677</v>
      </c>
      <c r="L76" s="45">
        <f t="shared" si="74"/>
        <v>7677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3.5" customHeight="1">
      <c r="A77" s="13"/>
      <c r="B77" s="35"/>
      <c r="C77" s="35"/>
      <c r="D77" s="35"/>
      <c r="E77" s="35"/>
      <c r="F77" s="35"/>
      <c r="G77" s="36"/>
      <c r="H77" s="35"/>
      <c r="I77" s="35"/>
      <c r="J77" s="35"/>
      <c r="K77" s="35"/>
      <c r="L77" s="3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3.5" customHeight="1">
      <c r="A78" s="34" t="s">
        <v>74</v>
      </c>
      <c r="B78" s="35"/>
      <c r="C78" s="35"/>
      <c r="D78" s="35"/>
      <c r="E78" s="35"/>
      <c r="F78" s="35"/>
      <c r="G78" s="36"/>
      <c r="H78" s="35"/>
      <c r="I78" s="35"/>
      <c r="J78" s="35"/>
      <c r="K78" s="35"/>
      <c r="L78" s="3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3.5" customHeight="1">
      <c r="A79" s="13" t="s">
        <v>75</v>
      </c>
      <c r="B79" s="35"/>
      <c r="C79" s="35"/>
      <c r="D79" s="35"/>
      <c r="E79" s="35"/>
      <c r="F79" s="35"/>
      <c r="G79" s="36"/>
      <c r="H79" s="35"/>
      <c r="I79" s="35"/>
      <c r="J79" s="35"/>
      <c r="K79" s="35"/>
      <c r="L79" s="3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3.5" customHeight="1">
      <c r="A80" s="13" t="s">
        <v>36</v>
      </c>
      <c r="B80" s="35" t="s">
        <v>21</v>
      </c>
      <c r="C80" s="37">
        <v>22074.0</v>
      </c>
      <c r="D80" s="37">
        <v>12193.0</v>
      </c>
      <c r="E80" s="37">
        <v>20539.0</v>
      </c>
      <c r="F80" s="37">
        <v>25489.0</v>
      </c>
      <c r="G80" s="38">
        <v>16571.0</v>
      </c>
      <c r="H80" s="37">
        <f t="shared" ref="H80:L80" si="75">G80</f>
        <v>16571</v>
      </c>
      <c r="I80" s="37">
        <f t="shared" si="75"/>
        <v>16571</v>
      </c>
      <c r="J80" s="37">
        <f t="shared" si="75"/>
        <v>16571</v>
      </c>
      <c r="K80" s="37">
        <f t="shared" si="75"/>
        <v>16571</v>
      </c>
      <c r="L80" s="37">
        <f t="shared" si="75"/>
        <v>16571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3.5" customHeight="1">
      <c r="A81" s="13" t="s">
        <v>76</v>
      </c>
      <c r="B81" s="35" t="s">
        <v>21</v>
      </c>
      <c r="C81" s="37">
        <v>5212.0</v>
      </c>
      <c r="D81" s="37">
        <v>5957.0</v>
      </c>
      <c r="E81" s="37">
        <v>6622.0</v>
      </c>
      <c r="F81" s="37">
        <v>8778.0</v>
      </c>
      <c r="G81" s="38">
        <v>10261.0</v>
      </c>
      <c r="H81" s="37">
        <f t="shared" ref="H81:L81" si="76">G81</f>
        <v>10261</v>
      </c>
      <c r="I81" s="37">
        <f t="shared" si="76"/>
        <v>10261</v>
      </c>
      <c r="J81" s="37">
        <f t="shared" si="76"/>
        <v>10261</v>
      </c>
      <c r="K81" s="37">
        <f t="shared" si="76"/>
        <v>10261</v>
      </c>
      <c r="L81" s="37">
        <f t="shared" si="76"/>
        <v>10261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3.5" customHeight="1">
      <c r="A82" s="13" t="s">
        <v>77</v>
      </c>
      <c r="B82" s="35" t="s">
        <v>21</v>
      </c>
      <c r="C82" s="37">
        <v>-1120.0</v>
      </c>
      <c r="D82" s="37">
        <v>1456.0</v>
      </c>
      <c r="E82" s="35">
        <v>562.0</v>
      </c>
      <c r="F82" s="37">
        <v>-1216.0</v>
      </c>
      <c r="G82" s="38">
        <v>-3862.0</v>
      </c>
      <c r="H82" s="37">
        <f t="shared" ref="H82:L82" si="77">G82</f>
        <v>-3862</v>
      </c>
      <c r="I82" s="37">
        <f t="shared" si="77"/>
        <v>-3862</v>
      </c>
      <c r="J82" s="37">
        <f t="shared" si="77"/>
        <v>-3862</v>
      </c>
      <c r="K82" s="37">
        <f t="shared" si="77"/>
        <v>-3862</v>
      </c>
      <c r="L82" s="37">
        <f t="shared" si="77"/>
        <v>-3862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3.5" customHeight="1">
      <c r="A83" s="13" t="s">
        <v>78</v>
      </c>
      <c r="B83" s="35" t="s">
        <v>21</v>
      </c>
      <c r="C83" s="35">
        <v>-161.0</v>
      </c>
      <c r="D83" s="35">
        <v>-272.0</v>
      </c>
      <c r="E83" s="35">
        <v>600.0</v>
      </c>
      <c r="F83" s="35">
        <v>50.0</v>
      </c>
      <c r="G83" s="36">
        <v>-465.0</v>
      </c>
      <c r="H83" s="37">
        <f t="shared" ref="H83:L83" si="78">G83</f>
        <v>-465</v>
      </c>
      <c r="I83" s="37">
        <f t="shared" si="78"/>
        <v>-465</v>
      </c>
      <c r="J83" s="37">
        <f t="shared" si="78"/>
        <v>-465</v>
      </c>
      <c r="K83" s="37">
        <f t="shared" si="78"/>
        <v>-465</v>
      </c>
      <c r="L83" s="37">
        <f t="shared" si="78"/>
        <v>-465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3.5" customHeight="1">
      <c r="A84" s="13" t="s">
        <v>79</v>
      </c>
      <c r="B84" s="35" t="s">
        <v>21</v>
      </c>
      <c r="C84" s="35">
        <v>473.0</v>
      </c>
      <c r="D84" s="37">
        <v>-1054.0</v>
      </c>
      <c r="E84" s="35">
        <v>88.0</v>
      </c>
      <c r="F84" s="35">
        <v>81.0</v>
      </c>
      <c r="G84" s="38">
        <v>1148.0</v>
      </c>
      <c r="H84" s="37">
        <f t="shared" ref="H84:L84" si="79">G84</f>
        <v>1148</v>
      </c>
      <c r="I84" s="37">
        <f t="shared" si="79"/>
        <v>1148</v>
      </c>
      <c r="J84" s="37">
        <f t="shared" si="79"/>
        <v>1148</v>
      </c>
      <c r="K84" s="37">
        <f t="shared" si="79"/>
        <v>1148</v>
      </c>
      <c r="L84" s="37">
        <f t="shared" si="79"/>
        <v>1148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3.5" customHeight="1">
      <c r="A85" s="13" t="s">
        <v>80</v>
      </c>
      <c r="B85" s="35" t="s">
        <v>21</v>
      </c>
      <c r="C85" s="35">
        <v>-624.0</v>
      </c>
      <c r="D85" s="37">
        <v>-1513.0</v>
      </c>
      <c r="E85" s="35">
        <v>-610.0</v>
      </c>
      <c r="F85" s="37">
        <v>-4876.0</v>
      </c>
      <c r="G85" s="38">
        <v>-2467.0</v>
      </c>
      <c r="H85" s="37">
        <f t="shared" ref="H85:L85" si="80">G85</f>
        <v>-2467</v>
      </c>
      <c r="I85" s="37">
        <f t="shared" si="80"/>
        <v>-2467</v>
      </c>
      <c r="J85" s="37">
        <f t="shared" si="80"/>
        <v>-2467</v>
      </c>
      <c r="K85" s="37">
        <f t="shared" si="80"/>
        <v>-2467</v>
      </c>
      <c r="L85" s="37">
        <f t="shared" si="80"/>
        <v>-2467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3.5" customHeight="1">
      <c r="A86" s="13" t="s">
        <v>81</v>
      </c>
      <c r="B86" s="35" t="s">
        <v>21</v>
      </c>
      <c r="C86" s="37">
        <f t="shared" ref="C86:G86" si="81">SUM(C80:C85)</f>
        <v>25854</v>
      </c>
      <c r="D86" s="37">
        <f t="shared" si="81"/>
        <v>16767</v>
      </c>
      <c r="E86" s="37">
        <f t="shared" si="81"/>
        <v>27801</v>
      </c>
      <c r="F86" s="37">
        <f t="shared" si="81"/>
        <v>28306</v>
      </c>
      <c r="G86" s="38">
        <f t="shared" si="81"/>
        <v>21186</v>
      </c>
      <c r="H86" s="37">
        <f t="shared" ref="H86:L86" si="82">G86</f>
        <v>21186</v>
      </c>
      <c r="I86" s="37">
        <f t="shared" si="82"/>
        <v>21186</v>
      </c>
      <c r="J86" s="37">
        <f t="shared" si="82"/>
        <v>21186</v>
      </c>
      <c r="K86" s="37">
        <f t="shared" si="82"/>
        <v>21186</v>
      </c>
      <c r="L86" s="37">
        <f t="shared" si="82"/>
        <v>21186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3.5" customHeight="1">
      <c r="A87" s="13" t="s">
        <v>82</v>
      </c>
      <c r="B87" s="35"/>
      <c r="C87" s="35"/>
      <c r="D87" s="35"/>
      <c r="E87" s="35"/>
      <c r="F87" s="35"/>
      <c r="G87" s="36"/>
      <c r="H87" s="37" t="str">
        <f t="shared" ref="H87:L87" si="83">G87</f>
        <v/>
      </c>
      <c r="I87" s="37" t="str">
        <f t="shared" si="83"/>
        <v/>
      </c>
      <c r="J87" s="37" t="str">
        <f t="shared" si="83"/>
        <v/>
      </c>
      <c r="K87" s="37" t="str">
        <f t="shared" si="83"/>
        <v/>
      </c>
      <c r="L87" s="37" t="str">
        <f t="shared" si="83"/>
        <v/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3.5" customHeight="1">
      <c r="A88" s="13" t="s">
        <v>83</v>
      </c>
      <c r="B88" s="35" t="s">
        <v>21</v>
      </c>
      <c r="C88" s="37">
        <v>-5485.0</v>
      </c>
      <c r="D88" s="37">
        <v>-5944.0</v>
      </c>
      <c r="E88" s="37">
        <v>-8343.0</v>
      </c>
      <c r="F88" s="37">
        <v>-8129.0</v>
      </c>
      <c r="G88" s="38">
        <v>-11632.0</v>
      </c>
      <c r="H88" s="37">
        <f t="shared" ref="H88:L88" si="84">G88</f>
        <v>-11632</v>
      </c>
      <c r="I88" s="37">
        <f t="shared" si="84"/>
        <v>-11632</v>
      </c>
      <c r="J88" s="37">
        <f t="shared" si="84"/>
        <v>-11632</v>
      </c>
      <c r="K88" s="37">
        <f t="shared" si="84"/>
        <v>-11632</v>
      </c>
      <c r="L88" s="37">
        <f t="shared" si="84"/>
        <v>-11632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3.5" customHeight="1">
      <c r="A89" s="13" t="s">
        <v>84</v>
      </c>
      <c r="B89" s="35" t="s">
        <v>21</v>
      </c>
      <c r="C89" s="37">
        <v>-5937.0</v>
      </c>
      <c r="D89" s="37">
        <v>-3723.0</v>
      </c>
      <c r="E89" s="37">
        <v>-1393.0</v>
      </c>
      <c r="F89" s="37">
        <v>-25944.0</v>
      </c>
      <c r="G89" s="36">
        <v>-888.0</v>
      </c>
      <c r="H89" s="37">
        <f t="shared" ref="H89:L89" si="85">G89</f>
        <v>-888</v>
      </c>
      <c r="I89" s="37">
        <f t="shared" si="85"/>
        <v>-888</v>
      </c>
      <c r="J89" s="37">
        <f t="shared" si="85"/>
        <v>-888</v>
      </c>
      <c r="K89" s="37">
        <f t="shared" si="85"/>
        <v>-888</v>
      </c>
      <c r="L89" s="37">
        <f t="shared" si="85"/>
        <v>-888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3.5" customHeight="1">
      <c r="A90" s="13" t="s">
        <v>85</v>
      </c>
      <c r="B90" s="35" t="s">
        <v>21</v>
      </c>
      <c r="C90" s="37">
        <v>65366.0</v>
      </c>
      <c r="D90" s="37">
        <v>85861.0</v>
      </c>
      <c r="E90" s="37">
        <v>115341.0</v>
      </c>
      <c r="F90" s="37">
        <v>104394.0</v>
      </c>
      <c r="G90" s="38">
        <v>143937.0</v>
      </c>
      <c r="H90" s="37">
        <f t="shared" ref="H90:L90" si="86">G90</f>
        <v>143937</v>
      </c>
      <c r="I90" s="37">
        <f t="shared" si="86"/>
        <v>143937</v>
      </c>
      <c r="J90" s="37">
        <f t="shared" si="86"/>
        <v>143937</v>
      </c>
      <c r="K90" s="37">
        <f t="shared" si="86"/>
        <v>143937</v>
      </c>
      <c r="L90" s="37">
        <f t="shared" si="86"/>
        <v>143937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3.5" customHeight="1">
      <c r="A91" s="13" t="s">
        <v>86</v>
      </c>
      <c r="B91" s="35" t="s">
        <v>21</v>
      </c>
      <c r="C91" s="37">
        <v>-72690.0</v>
      </c>
      <c r="D91" s="37">
        <v>-88729.0</v>
      </c>
      <c r="E91" s="37">
        <v>-99758.0</v>
      </c>
      <c r="F91" s="37">
        <v>-96905.0</v>
      </c>
      <c r="G91" s="38">
        <v>-97380.0</v>
      </c>
      <c r="H91" s="37">
        <f t="shared" ref="H91:L91" si="87">G91</f>
        <v>-97380</v>
      </c>
      <c r="I91" s="37">
        <f t="shared" si="87"/>
        <v>-97380</v>
      </c>
      <c r="J91" s="37">
        <f t="shared" si="87"/>
        <v>-97380</v>
      </c>
      <c r="K91" s="37">
        <f t="shared" si="87"/>
        <v>-97380</v>
      </c>
      <c r="L91" s="37">
        <f t="shared" si="87"/>
        <v>-97380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3.5" customHeight="1">
      <c r="A92" s="13" t="s">
        <v>87</v>
      </c>
      <c r="B92" s="35" t="s">
        <v>21</v>
      </c>
      <c r="C92" s="37">
        <f t="shared" ref="C92:G92" si="88">SUM(C88:C91)</f>
        <v>-18746</v>
      </c>
      <c r="D92" s="37">
        <f t="shared" si="88"/>
        <v>-12535</v>
      </c>
      <c r="E92" s="37">
        <f t="shared" si="88"/>
        <v>5847</v>
      </c>
      <c r="F92" s="37">
        <f t="shared" si="88"/>
        <v>-26584</v>
      </c>
      <c r="G92" s="38">
        <f t="shared" si="88"/>
        <v>34037</v>
      </c>
      <c r="H92" s="37">
        <f t="shared" ref="H92:L92" si="89">G92</f>
        <v>34037</v>
      </c>
      <c r="I92" s="37">
        <f t="shared" si="89"/>
        <v>34037</v>
      </c>
      <c r="J92" s="37">
        <f t="shared" si="89"/>
        <v>34037</v>
      </c>
      <c r="K92" s="37">
        <f t="shared" si="89"/>
        <v>34037</v>
      </c>
      <c r="L92" s="37">
        <f t="shared" si="89"/>
        <v>34037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3.5" customHeight="1">
      <c r="A93" s="13" t="s">
        <v>88</v>
      </c>
      <c r="B93" s="35"/>
      <c r="C93" s="35"/>
      <c r="D93" s="35"/>
      <c r="E93" s="35"/>
      <c r="F93" s="35"/>
      <c r="G93" s="36"/>
      <c r="H93" s="37" t="str">
        <f t="shared" ref="H93:L93" si="90">G93</f>
        <v/>
      </c>
      <c r="I93" s="37" t="str">
        <f t="shared" si="90"/>
        <v/>
      </c>
      <c r="J93" s="37" t="str">
        <f t="shared" si="90"/>
        <v/>
      </c>
      <c r="K93" s="37" t="str">
        <f t="shared" si="90"/>
        <v/>
      </c>
      <c r="L93" s="37" t="str">
        <f t="shared" si="90"/>
        <v/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3.5" customHeight="1">
      <c r="A94" s="13" t="s">
        <v>89</v>
      </c>
      <c r="B94" s="35" t="s">
        <v>21</v>
      </c>
      <c r="C94" s="37">
        <v>-8879.0</v>
      </c>
      <c r="D94" s="37">
        <v>-9882.0</v>
      </c>
      <c r="E94" s="37">
        <v>-11006.0</v>
      </c>
      <c r="F94" s="37">
        <v>-11845.0</v>
      </c>
      <c r="G94" s="38">
        <v>-12699.0</v>
      </c>
      <c r="H94" s="37">
        <f t="shared" ref="H94:L94" si="91">G94</f>
        <v>-12699</v>
      </c>
      <c r="I94" s="37">
        <f t="shared" si="91"/>
        <v>-12699</v>
      </c>
      <c r="J94" s="37">
        <f t="shared" si="91"/>
        <v>-12699</v>
      </c>
      <c r="K94" s="37">
        <f t="shared" si="91"/>
        <v>-12699</v>
      </c>
      <c r="L94" s="37">
        <f t="shared" si="91"/>
        <v>-12699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3.5" customHeight="1">
      <c r="A95" s="13" t="s">
        <v>90</v>
      </c>
      <c r="B95" s="35" t="s">
        <v>21</v>
      </c>
      <c r="C95" s="37">
        <v>-6709.0</v>
      </c>
      <c r="D95" s="37">
        <v>-13809.0</v>
      </c>
      <c r="E95" s="37">
        <v>-15301.0</v>
      </c>
      <c r="F95" s="37">
        <v>-11016.0</v>
      </c>
      <c r="G95" s="38">
        <v>-9719.0</v>
      </c>
      <c r="H95" s="37">
        <f t="shared" ref="H95:L95" si="92">G95</f>
        <v>-9719</v>
      </c>
      <c r="I95" s="37">
        <f t="shared" si="92"/>
        <v>-9719</v>
      </c>
      <c r="J95" s="37">
        <f t="shared" si="92"/>
        <v>-9719</v>
      </c>
      <c r="K95" s="37">
        <f t="shared" si="92"/>
        <v>-9719</v>
      </c>
      <c r="L95" s="37">
        <f t="shared" si="92"/>
        <v>-9719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3.5" customHeight="1">
      <c r="A96" s="13" t="s">
        <v>91</v>
      </c>
      <c r="B96" s="35" t="s">
        <v>21</v>
      </c>
      <c r="C96" s="37">
        <v>6962.0</v>
      </c>
      <c r="D96" s="37">
        <v>13661.0</v>
      </c>
      <c r="E96" s="37">
        <v>18283.0</v>
      </c>
      <c r="F96" s="37">
        <v>31459.0</v>
      </c>
      <c r="G96" s="38">
        <v>-10201.0</v>
      </c>
      <c r="H96" s="37">
        <f t="shared" ref="H96:L96" si="93">G96</f>
        <v>-10201</v>
      </c>
      <c r="I96" s="37">
        <f t="shared" si="93"/>
        <v>-10201</v>
      </c>
      <c r="J96" s="37">
        <f t="shared" si="93"/>
        <v>-10201</v>
      </c>
      <c r="K96" s="37">
        <f t="shared" si="93"/>
        <v>-10201</v>
      </c>
      <c r="L96" s="37">
        <f t="shared" si="93"/>
        <v>-10201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3.5" customHeight="1">
      <c r="A97" s="13" t="s">
        <v>92</v>
      </c>
      <c r="B97" s="35" t="s">
        <v>21</v>
      </c>
      <c r="C97" s="37">
        <f t="shared" ref="C97:G97" si="94">SUM(C94:C96)</f>
        <v>-8626</v>
      </c>
      <c r="D97" s="37">
        <f t="shared" si="94"/>
        <v>-10030</v>
      </c>
      <c r="E97" s="37">
        <f t="shared" si="94"/>
        <v>-8024</v>
      </c>
      <c r="F97" s="37">
        <f t="shared" si="94"/>
        <v>8598</v>
      </c>
      <c r="G97" s="38">
        <f t="shared" si="94"/>
        <v>-32619</v>
      </c>
      <c r="H97" s="37">
        <f t="shared" ref="H97:L97" si="95">G97</f>
        <v>-32619</v>
      </c>
      <c r="I97" s="37">
        <f t="shared" si="95"/>
        <v>-32619</v>
      </c>
      <c r="J97" s="37">
        <f t="shared" si="95"/>
        <v>-32619</v>
      </c>
      <c r="K97" s="37">
        <f t="shared" si="95"/>
        <v>-32619</v>
      </c>
      <c r="L97" s="37">
        <f t="shared" si="95"/>
        <v>-32619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3.5" customHeight="1">
      <c r="A98" s="13" t="s">
        <v>93</v>
      </c>
      <c r="B98" s="35"/>
      <c r="C98" s="35"/>
      <c r="D98" s="35"/>
      <c r="E98" s="35"/>
      <c r="F98" s="35"/>
      <c r="G98" s="36"/>
      <c r="H98" s="37" t="str">
        <f t="shared" ref="H98:L98" si="96">G98</f>
        <v/>
      </c>
      <c r="I98" s="37" t="str">
        <f t="shared" si="96"/>
        <v/>
      </c>
      <c r="J98" s="37" t="str">
        <f t="shared" si="96"/>
        <v/>
      </c>
      <c r="K98" s="37" t="str">
        <f t="shared" si="96"/>
        <v/>
      </c>
      <c r="L98" s="37" t="str">
        <f t="shared" si="96"/>
        <v/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3.5" customHeight="1">
      <c r="A99" s="13" t="s">
        <v>94</v>
      </c>
      <c r="B99" s="35" t="s">
        <v>21</v>
      </c>
      <c r="C99" s="35">
        <v>-139.0</v>
      </c>
      <c r="D99" s="35">
        <v>-73.0</v>
      </c>
      <c r="E99" s="35">
        <v>-67.0</v>
      </c>
      <c r="F99" s="35">
        <v>19.0</v>
      </c>
      <c r="G99" s="36">
        <v>50.0</v>
      </c>
      <c r="H99" s="37">
        <f t="shared" ref="H99:L99" si="97">G99</f>
        <v>50</v>
      </c>
      <c r="I99" s="37">
        <f t="shared" si="97"/>
        <v>50</v>
      </c>
      <c r="J99" s="37">
        <f t="shared" si="97"/>
        <v>50</v>
      </c>
      <c r="K99" s="37">
        <f t="shared" si="97"/>
        <v>50</v>
      </c>
      <c r="L99" s="37">
        <f t="shared" si="97"/>
        <v>50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3.5" customHeight="1">
      <c r="A100" s="13" t="s">
        <v>95</v>
      </c>
      <c r="B100" s="35" t="s">
        <v>21</v>
      </c>
      <c r="C100" s="37">
        <f t="shared" ref="C100:G100" si="98">C86+C92+C97+C99</f>
        <v>-1657</v>
      </c>
      <c r="D100" s="37">
        <f t="shared" si="98"/>
        <v>-5871</v>
      </c>
      <c r="E100" s="37">
        <f t="shared" si="98"/>
        <v>25557</v>
      </c>
      <c r="F100" s="37">
        <f t="shared" si="98"/>
        <v>10339</v>
      </c>
      <c r="G100" s="38">
        <f t="shared" si="98"/>
        <v>22654</v>
      </c>
      <c r="H100" s="37">
        <f t="shared" ref="H100:L100" si="99">G100</f>
        <v>22654</v>
      </c>
      <c r="I100" s="37">
        <f t="shared" si="99"/>
        <v>22654</v>
      </c>
      <c r="J100" s="37">
        <f t="shared" si="99"/>
        <v>22654</v>
      </c>
      <c r="K100" s="37">
        <f t="shared" si="99"/>
        <v>22654</v>
      </c>
      <c r="L100" s="37">
        <f t="shared" si="99"/>
        <v>22654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3.5" customHeight="1">
      <c r="A101" s="13" t="s">
        <v>96</v>
      </c>
      <c r="B101" s="35" t="s">
        <v>21</v>
      </c>
      <c r="C101" s="37">
        <v>3804.0</v>
      </c>
      <c r="D101" s="37">
        <f t="shared" ref="D101:G101" si="100">C102</f>
        <v>2147</v>
      </c>
      <c r="E101" s="37">
        <f t="shared" si="100"/>
        <v>-3724</v>
      </c>
      <c r="F101" s="37">
        <f t="shared" si="100"/>
        <v>21833</v>
      </c>
      <c r="G101" s="38">
        <f t="shared" si="100"/>
        <v>32172</v>
      </c>
      <c r="H101" s="37">
        <f t="shared" ref="H101:L101" si="101">G101</f>
        <v>32172</v>
      </c>
      <c r="I101" s="37">
        <f t="shared" si="101"/>
        <v>32172</v>
      </c>
      <c r="J101" s="37">
        <f t="shared" si="101"/>
        <v>32172</v>
      </c>
      <c r="K101" s="37">
        <f t="shared" si="101"/>
        <v>32172</v>
      </c>
      <c r="L101" s="37">
        <f t="shared" si="101"/>
        <v>32172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3.5" customHeight="1">
      <c r="A102" s="39" t="s">
        <v>97</v>
      </c>
      <c r="B102" s="40" t="s">
        <v>21</v>
      </c>
      <c r="C102" s="45">
        <f t="shared" ref="C102:G102" si="102">C101+C100</f>
        <v>2147</v>
      </c>
      <c r="D102" s="45">
        <f t="shared" si="102"/>
        <v>-3724</v>
      </c>
      <c r="E102" s="45">
        <f t="shared" si="102"/>
        <v>21833</v>
      </c>
      <c r="F102" s="45">
        <f t="shared" si="102"/>
        <v>32172</v>
      </c>
      <c r="G102" s="46">
        <f t="shared" si="102"/>
        <v>54826</v>
      </c>
      <c r="H102" s="47">
        <f t="shared" ref="H102:L102" si="103">G102</f>
        <v>54826</v>
      </c>
      <c r="I102" s="45">
        <f t="shared" si="103"/>
        <v>54826</v>
      </c>
      <c r="J102" s="45">
        <f t="shared" si="103"/>
        <v>54826</v>
      </c>
      <c r="K102" s="45">
        <f t="shared" si="103"/>
        <v>54826</v>
      </c>
      <c r="L102" s="45">
        <f t="shared" si="103"/>
        <v>54826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3.5" customHeight="1">
      <c r="A103" s="13"/>
      <c r="B103" s="35"/>
      <c r="C103" s="35"/>
      <c r="D103" s="35"/>
      <c r="E103" s="35"/>
      <c r="F103" s="35"/>
      <c r="G103" s="36"/>
      <c r="H103" s="35"/>
      <c r="I103" s="35"/>
      <c r="J103" s="35"/>
      <c r="K103" s="35"/>
      <c r="L103" s="35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3.5" customHeight="1">
      <c r="A104" s="51" t="s">
        <v>98</v>
      </c>
      <c r="B104" s="52"/>
      <c r="C104" s="52"/>
      <c r="D104" s="52"/>
      <c r="E104" s="52"/>
      <c r="F104" s="52"/>
      <c r="G104" s="53"/>
      <c r="H104" s="52"/>
      <c r="I104" s="52"/>
      <c r="J104" s="52"/>
      <c r="K104" s="52"/>
      <c r="L104" s="52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3.5" customHeight="1">
      <c r="A105" s="13" t="s">
        <v>99</v>
      </c>
      <c r="B105" s="35"/>
      <c r="C105" s="43">
        <f t="shared" ref="C105:G105" si="104">C68/C60</f>
        <v>0.4791627993</v>
      </c>
      <c r="D105" s="43">
        <f t="shared" si="104"/>
        <v>0.5417183196</v>
      </c>
      <c r="E105" s="43">
        <f t="shared" si="104"/>
        <v>0.6285724635</v>
      </c>
      <c r="F105" s="43">
        <f t="shared" si="104"/>
        <v>0.6717467373</v>
      </c>
      <c r="G105" s="44">
        <f t="shared" si="104"/>
        <v>0.7035013301</v>
      </c>
      <c r="H105" s="35"/>
      <c r="I105" s="35"/>
      <c r="J105" s="35"/>
      <c r="K105" s="35"/>
      <c r="L105" s="35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3.5" customHeight="1">
      <c r="A106" s="13" t="s">
        <v>100</v>
      </c>
      <c r="B106" s="35"/>
      <c r="C106" s="43">
        <f t="shared" ref="C106:G106" si="105">C52/C62</f>
        <v>2.504021918</v>
      </c>
      <c r="D106" s="43">
        <f t="shared" si="105"/>
        <v>2.473603642</v>
      </c>
      <c r="E106" s="43">
        <f t="shared" si="105"/>
        <v>2.352881716</v>
      </c>
      <c r="F106" s="43">
        <f t="shared" si="105"/>
        <v>2.918575657</v>
      </c>
      <c r="G106" s="44">
        <f t="shared" si="105"/>
        <v>2.900800164</v>
      </c>
      <c r="H106" s="35"/>
      <c r="I106" s="35"/>
      <c r="J106" s="35"/>
      <c r="K106" s="35"/>
      <c r="L106" s="35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3.5" customHeight="1">
      <c r="A107" s="13" t="s">
        <v>101</v>
      </c>
      <c r="B107" s="35"/>
      <c r="C107" s="43">
        <f t="shared" ref="C107:G107" si="106">C68/C30</f>
        <v>2.987017683</v>
      </c>
      <c r="D107" s="43">
        <f t="shared" si="106"/>
        <v>5.250250306</v>
      </c>
      <c r="E107" s="43">
        <f t="shared" si="106"/>
        <v>4.42581797</v>
      </c>
      <c r="F107" s="43">
        <f t="shared" si="106"/>
        <v>5.612737314</v>
      </c>
      <c r="G107" s="44">
        <f t="shared" si="106"/>
        <v>5.030704636</v>
      </c>
      <c r="H107" s="35"/>
      <c r="I107" s="35"/>
      <c r="J107" s="35"/>
      <c r="K107" s="35"/>
      <c r="L107" s="35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3.5" customHeight="1">
      <c r="A108" s="39" t="s">
        <v>102</v>
      </c>
      <c r="B108" s="40"/>
      <c r="C108" s="54">
        <f t="shared" ref="C108:G108" si="107">C38/C60</f>
        <v>0.1241994617</v>
      </c>
      <c r="D108" s="54">
        <f t="shared" si="107"/>
        <v>0.06303374656</v>
      </c>
      <c r="E108" s="54">
        <f t="shared" si="107"/>
        <v>0.1097185496</v>
      </c>
      <c r="F108" s="54">
        <f t="shared" si="107"/>
        <v>0.09268891212</v>
      </c>
      <c r="G108" s="55">
        <f t="shared" si="107"/>
        <v>0.1045486136</v>
      </c>
      <c r="H108" s="40"/>
      <c r="I108" s="40"/>
      <c r="J108" s="40"/>
      <c r="K108" s="40"/>
      <c r="L108" s="40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3.5" customHeight="1">
      <c r="A109" s="13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3.5" customHeight="1">
      <c r="A110" s="13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3.5" customHeight="1">
      <c r="A111" s="13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3.5" customHeight="1">
      <c r="A112" s="13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3.5" customHeight="1">
      <c r="A113" s="13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3.5" customHeight="1">
      <c r="A114" s="13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3.5" customHeight="1">
      <c r="A115" s="13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3.5" customHeight="1">
      <c r="A116" s="13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3.5" customHeight="1">
      <c r="A117" s="13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3.5" customHeight="1">
      <c r="A118" s="13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3.5" customHeight="1">
      <c r="A119" s="13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3.5" customHeight="1">
      <c r="A120" s="13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3.5" customHeight="1">
      <c r="A121" s="13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3.5" customHeight="1">
      <c r="A122" s="13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3.5" customHeight="1">
      <c r="A123" s="13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3.5" customHeight="1">
      <c r="A124" s="13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3.5" customHeight="1">
      <c r="A125" s="13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3.5" customHeight="1">
      <c r="A126" s="13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3.5" customHeight="1">
      <c r="A127" s="13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3.5" customHeight="1">
      <c r="A128" s="13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3.5" customHeight="1">
      <c r="A129" s="13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3.5" customHeight="1">
      <c r="A130" s="13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3.5" customHeight="1">
      <c r="A131" s="13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3.5" customHeight="1">
      <c r="A132" s="13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3.5" customHeight="1">
      <c r="A133" s="13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3.5" customHeight="1">
      <c r="A134" s="13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3.5" customHeight="1">
      <c r="A135" s="13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3.5" customHeight="1">
      <c r="A136" s="13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3.5" customHeight="1">
      <c r="A137" s="13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3.5" customHeight="1">
      <c r="A138" s="13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3.5" customHeight="1">
      <c r="A139" s="13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3.5" customHeight="1">
      <c r="A140" s="13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3.5" customHeight="1">
      <c r="A141" s="13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3.5" customHeight="1">
      <c r="A142" s="13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3.5" customHeight="1">
      <c r="A143" s="13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3.5" customHeight="1">
      <c r="A144" s="13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3.5" customHeight="1">
      <c r="A145" s="13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3.5" customHeight="1">
      <c r="A146" s="13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3.5" customHeight="1">
      <c r="A147" s="13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3.5" customHeight="1">
      <c r="A148" s="13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3.5" customHeight="1">
      <c r="A149" s="13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3.5" customHeight="1">
      <c r="A150" s="13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3.5" customHeight="1">
      <c r="A151" s="13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3.5" customHeight="1">
      <c r="A152" s="13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3.5" customHeight="1">
      <c r="A153" s="13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3.5" customHeight="1">
      <c r="A154" s="13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3.5" customHeight="1">
      <c r="A155" s="13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3.5" customHeight="1">
      <c r="A156" s="13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3.5" customHeight="1">
      <c r="A157" s="13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3.5" customHeight="1">
      <c r="A158" s="13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3.5" customHeight="1">
      <c r="A159" s="13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3.5" customHeight="1">
      <c r="A160" s="13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3.5" customHeight="1">
      <c r="A161" s="13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3.5" customHeight="1">
      <c r="A162" s="13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3.5" customHeight="1">
      <c r="A163" s="13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3.5" customHeight="1">
      <c r="A164" s="13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3.5" customHeight="1">
      <c r="A165" s="13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3.5" customHeight="1">
      <c r="A166" s="13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3.5" customHeight="1">
      <c r="A167" s="13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3.5" customHeight="1">
      <c r="A168" s="13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3.5" customHeight="1">
      <c r="A169" s="13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3.5" customHeight="1">
      <c r="A170" s="13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3.5" customHeight="1">
      <c r="A171" s="13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3.5" customHeight="1">
      <c r="A172" s="13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3.5" customHeight="1">
      <c r="A173" s="13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3.5" customHeight="1">
      <c r="A174" s="13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3.5" customHeight="1">
      <c r="A175" s="13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3.5" customHeight="1">
      <c r="A176" s="13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3.5" customHeight="1">
      <c r="A177" s="13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3.5" customHeight="1">
      <c r="A178" s="13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3.5" customHeight="1">
      <c r="A179" s="13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3.5" customHeight="1">
      <c r="A180" s="13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3.5" customHeight="1">
      <c r="A181" s="13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3.5" customHeight="1">
      <c r="A182" s="13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3.5" customHeight="1">
      <c r="A183" s="13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3.5" customHeight="1">
      <c r="A184" s="13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3.5" customHeight="1">
      <c r="A185" s="13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3.5" customHeight="1">
      <c r="A186" s="13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3.5" customHeight="1">
      <c r="A187" s="13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3.5" customHeight="1">
      <c r="A188" s="13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3.5" customHeight="1">
      <c r="A189" s="13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3.5" customHeight="1">
      <c r="A190" s="13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3.5" customHeight="1">
      <c r="A191" s="13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3.5" customHeight="1">
      <c r="A192" s="13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3.5" customHeight="1">
      <c r="A193" s="13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3.5" customHeight="1">
      <c r="A194" s="13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3.5" customHeight="1">
      <c r="A195" s="13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3.5" customHeight="1">
      <c r="A196" s="13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3.5" customHeight="1">
      <c r="A197" s="13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3.5" customHeight="1">
      <c r="A198" s="13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3.5" customHeight="1">
      <c r="A199" s="13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3.5" customHeight="1">
      <c r="A200" s="13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3.5" customHeight="1">
      <c r="A201" s="13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3.5" customHeight="1">
      <c r="A202" s="13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3.5" customHeight="1">
      <c r="A203" s="13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3.5" customHeight="1">
      <c r="A204" s="13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3.5" customHeight="1">
      <c r="A205" s="13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3.5" customHeight="1">
      <c r="A206" s="13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3.5" customHeight="1">
      <c r="A207" s="13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3.5" customHeight="1">
      <c r="A208" s="13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3.5" customHeight="1">
      <c r="A209" s="13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3.5" customHeight="1">
      <c r="A210" s="13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3.5" customHeight="1">
      <c r="A211" s="13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3.5" customHeight="1">
      <c r="A212" s="13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3.5" customHeight="1">
      <c r="A213" s="13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3.5" customHeight="1">
      <c r="A214" s="13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3.5" customHeight="1">
      <c r="A215" s="13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3.5" customHeight="1">
      <c r="A216" s="13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3.5" customHeight="1">
      <c r="A217" s="13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3.5" customHeight="1">
      <c r="A218" s="13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3.5" customHeight="1">
      <c r="A219" s="13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3.5" customHeight="1">
      <c r="A220" s="13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3.5" customHeight="1">
      <c r="A221" s="13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3.5" customHeight="1">
      <c r="A222" s="13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3.5" customHeight="1">
      <c r="A223" s="13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3.5" customHeight="1">
      <c r="A224" s="13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3.5" customHeight="1">
      <c r="A225" s="13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3.5" customHeight="1">
      <c r="A226" s="13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3.5" customHeight="1">
      <c r="A227" s="13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3.5" customHeight="1">
      <c r="A228" s="13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3.5" customHeight="1">
      <c r="A229" s="13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3.5" customHeight="1">
      <c r="A230" s="13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3.5" customHeight="1">
      <c r="A231" s="13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3.5" customHeight="1">
      <c r="A232" s="13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3.5" customHeight="1">
      <c r="A233" s="13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3.5" customHeight="1">
      <c r="A234" s="13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3.5" customHeight="1">
      <c r="A235" s="13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3.5" customHeight="1">
      <c r="A236" s="13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3.5" customHeight="1">
      <c r="A237" s="13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3.5" customHeight="1">
      <c r="A238" s="13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3.5" customHeight="1">
      <c r="A239" s="13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3.5" customHeight="1">
      <c r="A240" s="13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3.5" customHeight="1">
      <c r="A241" s="13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3.5" customHeight="1">
      <c r="A242" s="13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3.5" customHeight="1">
      <c r="A243" s="13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3.5" customHeight="1">
      <c r="A244" s="13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3.5" customHeight="1">
      <c r="A245" s="13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3.5" customHeight="1">
      <c r="A246" s="13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3.5" customHeight="1">
      <c r="A247" s="13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3.5" customHeight="1">
      <c r="A248" s="13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3.5" customHeight="1">
      <c r="A249" s="13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3.5" customHeight="1">
      <c r="A250" s="13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3.5" customHeight="1">
      <c r="A251" s="13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3.5" customHeight="1">
      <c r="A252" s="13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3.5" customHeight="1">
      <c r="A253" s="13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3.5" customHeight="1">
      <c r="A254" s="13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3.5" customHeight="1">
      <c r="A255" s="13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3.5" customHeight="1">
      <c r="A256" s="13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3.5" customHeight="1">
      <c r="A257" s="13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3.5" customHeight="1">
      <c r="A258" s="13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3.5" customHeight="1">
      <c r="A259" s="13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3.5" customHeight="1">
      <c r="A260" s="13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3.5" customHeight="1">
      <c r="A261" s="13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3.5" customHeight="1">
      <c r="A262" s="13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3.5" customHeight="1">
      <c r="A263" s="13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3.5" customHeight="1">
      <c r="A264" s="13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3.5" customHeight="1">
      <c r="A265" s="13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3.5" customHeight="1">
      <c r="A266" s="13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3.5" customHeight="1">
      <c r="A267" s="13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3.5" customHeight="1">
      <c r="A268" s="13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3.5" customHeight="1">
      <c r="A269" s="13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3.5" customHeight="1">
      <c r="A270" s="13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3.5" customHeight="1">
      <c r="A271" s="13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3.5" customHeight="1">
      <c r="A272" s="13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3.5" customHeight="1">
      <c r="A273" s="13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3.5" customHeight="1">
      <c r="A274" s="13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3.5" customHeight="1">
      <c r="A275" s="13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3.5" customHeight="1">
      <c r="A276" s="13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3.5" customHeight="1">
      <c r="A277" s="13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3.5" customHeight="1">
      <c r="A278" s="13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3.5" customHeight="1">
      <c r="A279" s="13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3.5" customHeight="1">
      <c r="A280" s="13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3.5" customHeight="1">
      <c r="A281" s="13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3.5" customHeight="1">
      <c r="A282" s="13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3.5" customHeight="1">
      <c r="A283" s="13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3.5" customHeight="1">
      <c r="A284" s="13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3.5" customHeight="1">
      <c r="A285" s="13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3.5" customHeight="1">
      <c r="A286" s="13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3.5" customHeight="1">
      <c r="A287" s="13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3.5" customHeight="1">
      <c r="A288" s="13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3.5" customHeight="1">
      <c r="A289" s="13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3.5" customHeight="1">
      <c r="A290" s="13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3.5" customHeight="1">
      <c r="A291" s="13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3.5" customHeight="1">
      <c r="A292" s="13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3.5" customHeight="1">
      <c r="A293" s="13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3.5" customHeight="1">
      <c r="A294" s="13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3.5" customHeight="1">
      <c r="A295" s="13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3.5" customHeight="1">
      <c r="A296" s="13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3.5" customHeight="1">
      <c r="A297" s="13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3.5" customHeight="1">
      <c r="A298" s="13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3.5" customHeight="1">
      <c r="A299" s="13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3.5" customHeight="1">
      <c r="A300" s="13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3.5" customHeight="1">
      <c r="A301" s="13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3.5" customHeight="1">
      <c r="A302" s="13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3.5" customHeight="1">
      <c r="A303" s="13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3.5" customHeight="1">
      <c r="A304" s="13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3.5" customHeight="1">
      <c r="A305" s="13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3.5" customHeight="1">
      <c r="A306" s="13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3.5" customHeight="1">
      <c r="A307" s="13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3.5" customHeight="1">
      <c r="A308" s="13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3.5" customHeight="1">
      <c r="A309" s="13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3.5" customHeight="1">
      <c r="A310" s="13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3.5" customHeight="1">
      <c r="A311" s="13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3.5" customHeight="1">
      <c r="A312" s="13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3.5" customHeight="1">
      <c r="A313" s="13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3.5" customHeight="1">
      <c r="A314" s="13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3.5" customHeight="1">
      <c r="A315" s="13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3.5" customHeight="1">
      <c r="A316" s="13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3.5" customHeight="1">
      <c r="A317" s="13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3.5" customHeight="1">
      <c r="A318" s="13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3.5" customHeight="1">
      <c r="A319" s="13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3.5" customHeight="1">
      <c r="A320" s="13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3.5" customHeight="1">
      <c r="A321" s="13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3.5" customHeight="1">
      <c r="A322" s="13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3.5" customHeight="1">
      <c r="A323" s="13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3.5" customHeight="1">
      <c r="A324" s="13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3.5" customHeight="1">
      <c r="A325" s="13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3.5" customHeight="1">
      <c r="A326" s="13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3.5" customHeight="1">
      <c r="A327" s="13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3.5" customHeight="1">
      <c r="A328" s="13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3.5" customHeight="1">
      <c r="A329" s="13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3.5" customHeight="1">
      <c r="A330" s="13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3.5" customHeight="1">
      <c r="A331" s="13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3.5" customHeight="1">
      <c r="A332" s="13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3.5" customHeight="1">
      <c r="A333" s="13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3.5" customHeight="1">
      <c r="A334" s="13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3.5" customHeight="1">
      <c r="A335" s="13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3.5" customHeight="1">
      <c r="A336" s="13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3.5" customHeight="1">
      <c r="A337" s="13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3.5" customHeight="1">
      <c r="A338" s="13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3.5" customHeight="1">
      <c r="A339" s="13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3.5" customHeight="1">
      <c r="A340" s="13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3.5" customHeight="1">
      <c r="A341" s="13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3.5" customHeight="1">
      <c r="A342" s="13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3.5" customHeight="1">
      <c r="A343" s="13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3.5" customHeight="1">
      <c r="A344" s="13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3.5" customHeight="1">
      <c r="A345" s="13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3.5" customHeight="1">
      <c r="A346" s="13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3.5" customHeight="1">
      <c r="A347" s="13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3.5" customHeight="1">
      <c r="A348" s="13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3.5" customHeight="1">
      <c r="A349" s="13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3.5" customHeight="1">
      <c r="A350" s="13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3.5" customHeight="1">
      <c r="A351" s="13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3.5" customHeight="1">
      <c r="A352" s="13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3.5" customHeight="1">
      <c r="A353" s="13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3.5" customHeight="1">
      <c r="A354" s="13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3.5" customHeight="1">
      <c r="A355" s="13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3.5" customHeight="1">
      <c r="A356" s="13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3.5" customHeight="1">
      <c r="A357" s="13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3.5" customHeight="1">
      <c r="A358" s="13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3.5" customHeight="1">
      <c r="A359" s="13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3.5" customHeight="1">
      <c r="A360" s="13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3.5" customHeight="1">
      <c r="A361" s="13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3.5" customHeight="1">
      <c r="A362" s="13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3.5" customHeight="1">
      <c r="A363" s="13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3.5" customHeight="1">
      <c r="A364" s="13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3.5" customHeight="1">
      <c r="A365" s="13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3.5" customHeight="1">
      <c r="A366" s="13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3.5" customHeight="1">
      <c r="A367" s="13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3.5" customHeight="1">
      <c r="A368" s="13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3.5" customHeight="1">
      <c r="A369" s="13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3.5" customHeight="1">
      <c r="A370" s="13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3.5" customHeight="1">
      <c r="A371" s="13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3.5" customHeight="1">
      <c r="A372" s="13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3.5" customHeight="1">
      <c r="A373" s="13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3.5" customHeight="1">
      <c r="A374" s="13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3.5" customHeight="1">
      <c r="A375" s="13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3.5" customHeight="1">
      <c r="A376" s="13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3.5" customHeight="1">
      <c r="A377" s="13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3.5" customHeight="1">
      <c r="A378" s="13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3.5" customHeight="1">
      <c r="A379" s="13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3.5" customHeight="1">
      <c r="A380" s="13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3.5" customHeight="1">
      <c r="A381" s="13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3.5" customHeight="1">
      <c r="A382" s="13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3.5" customHeight="1">
      <c r="A383" s="13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3.5" customHeight="1">
      <c r="A384" s="13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3.5" customHeight="1">
      <c r="A385" s="13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3.5" customHeight="1">
      <c r="A386" s="13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3.5" customHeight="1">
      <c r="A387" s="13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3.5" customHeight="1">
      <c r="A388" s="13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3.5" customHeight="1">
      <c r="A389" s="13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3.5" customHeight="1">
      <c r="A390" s="13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3.5" customHeight="1">
      <c r="A391" s="13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3.5" customHeight="1">
      <c r="A392" s="13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3.5" customHeight="1">
      <c r="A393" s="13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3.5" customHeight="1">
      <c r="A394" s="13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3.5" customHeight="1">
      <c r="A395" s="13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3.5" customHeight="1">
      <c r="A396" s="13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3.5" customHeight="1">
      <c r="A397" s="13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3.5" customHeight="1">
      <c r="A398" s="13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3.5" customHeight="1">
      <c r="A399" s="13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3.5" customHeight="1">
      <c r="A400" s="13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3.5" customHeight="1">
      <c r="A401" s="13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3.5" customHeight="1">
      <c r="A402" s="13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3.5" customHeight="1">
      <c r="A403" s="13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3.5" customHeight="1">
      <c r="A404" s="13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3.5" customHeight="1">
      <c r="A405" s="13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3.5" customHeight="1">
      <c r="A406" s="13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3.5" customHeight="1">
      <c r="A407" s="13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3.5" customHeight="1">
      <c r="A408" s="13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3.5" customHeight="1">
      <c r="A409" s="13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3.5" customHeight="1">
      <c r="A410" s="13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3.5" customHeight="1">
      <c r="A411" s="13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3.5" customHeight="1">
      <c r="A412" s="13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3.5" customHeight="1">
      <c r="A413" s="13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3.5" customHeight="1">
      <c r="A414" s="13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3.5" customHeight="1">
      <c r="A415" s="13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3.5" customHeight="1">
      <c r="A416" s="13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3.5" customHeight="1">
      <c r="A417" s="13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3.5" customHeight="1">
      <c r="A418" s="13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3.5" customHeight="1">
      <c r="A419" s="13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3.5" customHeight="1">
      <c r="A420" s="13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3.5" customHeight="1">
      <c r="A421" s="13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3.5" customHeight="1">
      <c r="A422" s="13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3.5" customHeight="1">
      <c r="A423" s="13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3.5" customHeight="1">
      <c r="A424" s="13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3.5" customHeight="1">
      <c r="A425" s="13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3.5" customHeight="1">
      <c r="A426" s="13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3.5" customHeight="1">
      <c r="A427" s="13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3.5" customHeight="1">
      <c r="A428" s="13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3.5" customHeight="1">
      <c r="A429" s="13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3.5" customHeight="1">
      <c r="A430" s="13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3.5" customHeight="1">
      <c r="A431" s="13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3.5" customHeight="1">
      <c r="A432" s="13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3.5" customHeight="1">
      <c r="A433" s="13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3.5" customHeight="1">
      <c r="A434" s="13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3.5" customHeight="1">
      <c r="A435" s="13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3.5" customHeight="1">
      <c r="A436" s="13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3.5" customHeight="1">
      <c r="A437" s="13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3.5" customHeight="1">
      <c r="A438" s="13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3.5" customHeight="1">
      <c r="A439" s="13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3.5" customHeight="1">
      <c r="A440" s="13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3.5" customHeight="1">
      <c r="A441" s="13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3.5" customHeight="1">
      <c r="A442" s="13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3.5" customHeight="1">
      <c r="A443" s="13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3.5" customHeight="1">
      <c r="A444" s="13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3.5" customHeight="1">
      <c r="A445" s="13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3.5" customHeight="1">
      <c r="A446" s="13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3.5" customHeight="1">
      <c r="A447" s="13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3.5" customHeight="1">
      <c r="A448" s="13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3.5" customHeight="1">
      <c r="A449" s="13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3.5" customHeight="1">
      <c r="A450" s="13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3.5" customHeight="1">
      <c r="A451" s="13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3.5" customHeight="1">
      <c r="A452" s="13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3.5" customHeight="1">
      <c r="A453" s="13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3.5" customHeight="1">
      <c r="A454" s="13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3.5" customHeight="1">
      <c r="A455" s="13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3.5" customHeight="1">
      <c r="A456" s="13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3.5" customHeight="1">
      <c r="A457" s="13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3.5" customHeight="1">
      <c r="A458" s="13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3.5" customHeight="1">
      <c r="A459" s="13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3.5" customHeight="1">
      <c r="A460" s="13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3.5" customHeight="1">
      <c r="A461" s="13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3.5" customHeight="1">
      <c r="A462" s="13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3.5" customHeight="1">
      <c r="A463" s="13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3.5" customHeight="1">
      <c r="A464" s="13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3.5" customHeight="1">
      <c r="A465" s="13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3.5" customHeight="1">
      <c r="A466" s="13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3.5" customHeight="1">
      <c r="A467" s="13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3.5" customHeight="1">
      <c r="A468" s="13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3.5" customHeight="1">
      <c r="A469" s="13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3.5" customHeight="1">
      <c r="A470" s="13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3.5" customHeight="1">
      <c r="A471" s="13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3.5" customHeight="1">
      <c r="A472" s="13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3.5" customHeight="1">
      <c r="A473" s="13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3.5" customHeight="1">
      <c r="A474" s="13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3.5" customHeight="1">
      <c r="A475" s="13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3.5" customHeight="1">
      <c r="A476" s="13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3.5" customHeight="1">
      <c r="A477" s="13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3.5" customHeight="1">
      <c r="A478" s="13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3.5" customHeight="1">
      <c r="A479" s="13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3.5" customHeight="1">
      <c r="A480" s="13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3.5" customHeight="1">
      <c r="A481" s="13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3.5" customHeight="1">
      <c r="A482" s="13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3.5" customHeight="1">
      <c r="A483" s="13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3.5" customHeight="1">
      <c r="A484" s="13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3.5" customHeight="1">
      <c r="A485" s="13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3.5" customHeight="1">
      <c r="A486" s="13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3.5" customHeight="1">
      <c r="A487" s="13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3.5" customHeight="1">
      <c r="A488" s="13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3.5" customHeight="1">
      <c r="A489" s="13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3.5" customHeight="1">
      <c r="A490" s="13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3.5" customHeight="1">
      <c r="A491" s="13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3.5" customHeight="1">
      <c r="A492" s="13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3.5" customHeight="1">
      <c r="A493" s="13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3.5" customHeight="1">
      <c r="A494" s="13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3.5" customHeight="1">
      <c r="A495" s="13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3.5" customHeight="1">
      <c r="A496" s="13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3.5" customHeight="1">
      <c r="A497" s="13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3.5" customHeight="1">
      <c r="A498" s="13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3.5" customHeight="1">
      <c r="A499" s="13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3.5" customHeight="1">
      <c r="A500" s="13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3.5" customHeight="1">
      <c r="A501" s="13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3.5" customHeight="1">
      <c r="A502" s="13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3.5" customHeight="1">
      <c r="A503" s="13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3.5" customHeight="1">
      <c r="A504" s="13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3.5" customHeight="1">
      <c r="A505" s="13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3.5" customHeight="1">
      <c r="A506" s="13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3.5" customHeight="1">
      <c r="A507" s="13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3.5" customHeight="1">
      <c r="A508" s="13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3.5" customHeight="1">
      <c r="A509" s="13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3.5" customHeight="1">
      <c r="A510" s="13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3.5" customHeight="1">
      <c r="A511" s="13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3.5" customHeight="1">
      <c r="A512" s="13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3.5" customHeight="1">
      <c r="A513" s="13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3.5" customHeight="1">
      <c r="A514" s="13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3.5" customHeight="1">
      <c r="A515" s="13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3.5" customHeight="1">
      <c r="A516" s="13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3.5" customHeight="1">
      <c r="A517" s="13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3.5" customHeight="1">
      <c r="A518" s="13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3.5" customHeight="1">
      <c r="A519" s="13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3.5" customHeight="1">
      <c r="A520" s="13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3.5" customHeight="1">
      <c r="A521" s="13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3.5" customHeight="1">
      <c r="A522" s="13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3.5" customHeight="1">
      <c r="A523" s="13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3.5" customHeight="1">
      <c r="A524" s="13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3.5" customHeight="1">
      <c r="A525" s="13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3.5" customHeight="1">
      <c r="A526" s="13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3.5" customHeight="1">
      <c r="A527" s="13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3.5" customHeight="1">
      <c r="A528" s="13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3.5" customHeight="1">
      <c r="A529" s="13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3.5" customHeight="1">
      <c r="A530" s="13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3.5" customHeight="1">
      <c r="A531" s="13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3.5" customHeight="1">
      <c r="A532" s="13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3.5" customHeight="1">
      <c r="A533" s="13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3.5" customHeight="1">
      <c r="A534" s="13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3.5" customHeight="1">
      <c r="A535" s="13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3.5" customHeight="1">
      <c r="A536" s="13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3.5" customHeight="1">
      <c r="A537" s="13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3.5" customHeight="1">
      <c r="A538" s="13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3.5" customHeight="1">
      <c r="A539" s="13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3.5" customHeight="1">
      <c r="A540" s="13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3.5" customHeight="1">
      <c r="A541" s="13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3.5" customHeight="1">
      <c r="A542" s="13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3.5" customHeight="1">
      <c r="A543" s="13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3.5" customHeight="1">
      <c r="A544" s="13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3.5" customHeight="1">
      <c r="A545" s="13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3.5" customHeight="1">
      <c r="A546" s="13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3.5" customHeight="1">
      <c r="A547" s="13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3.5" customHeight="1">
      <c r="A548" s="13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3.5" customHeight="1">
      <c r="A549" s="13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3.5" customHeight="1">
      <c r="A550" s="13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3.5" customHeight="1">
      <c r="A551" s="13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3.5" customHeight="1">
      <c r="A552" s="13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3.5" customHeight="1">
      <c r="A553" s="13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3.5" customHeight="1">
      <c r="A554" s="13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3.5" customHeight="1">
      <c r="A555" s="13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3.5" customHeight="1">
      <c r="A556" s="13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3.5" customHeight="1">
      <c r="A557" s="13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3.5" customHeight="1">
      <c r="A558" s="13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3.5" customHeight="1">
      <c r="A559" s="13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3.5" customHeight="1">
      <c r="A560" s="13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3.5" customHeight="1">
      <c r="A561" s="13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3.5" customHeight="1">
      <c r="A562" s="13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3.5" customHeight="1">
      <c r="A563" s="13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3.5" customHeight="1">
      <c r="A564" s="13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3.5" customHeight="1">
      <c r="A565" s="13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3.5" customHeight="1">
      <c r="A566" s="13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3.5" customHeight="1">
      <c r="A567" s="13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3.5" customHeight="1">
      <c r="A568" s="13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3.5" customHeight="1">
      <c r="A569" s="13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3.5" customHeight="1">
      <c r="A570" s="13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3.5" customHeight="1">
      <c r="A571" s="13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3.5" customHeight="1">
      <c r="A572" s="13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3.5" customHeight="1">
      <c r="A573" s="13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3.5" customHeight="1">
      <c r="A574" s="13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3.5" customHeight="1">
      <c r="A575" s="13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3.5" customHeight="1">
      <c r="A576" s="13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3.5" customHeight="1">
      <c r="A577" s="13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3.5" customHeight="1">
      <c r="A578" s="13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3.5" customHeight="1">
      <c r="A579" s="13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3.5" customHeight="1">
      <c r="A580" s="13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3.5" customHeight="1">
      <c r="A581" s="13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3.5" customHeight="1">
      <c r="A582" s="13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3.5" customHeight="1">
      <c r="A583" s="13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3.5" customHeight="1">
      <c r="A584" s="13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3.5" customHeight="1">
      <c r="A585" s="13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3.5" customHeight="1">
      <c r="A586" s="13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3.5" customHeight="1">
      <c r="A587" s="13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3.5" customHeight="1">
      <c r="A588" s="13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3.5" customHeight="1">
      <c r="A589" s="13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3.5" customHeight="1">
      <c r="A590" s="13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3.5" customHeight="1">
      <c r="A591" s="13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3.5" customHeight="1">
      <c r="A592" s="13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3.5" customHeight="1">
      <c r="A593" s="13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3.5" customHeight="1">
      <c r="A594" s="13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3.5" customHeight="1">
      <c r="A595" s="13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3.5" customHeight="1">
      <c r="A596" s="13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3.5" customHeight="1">
      <c r="A597" s="13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3.5" customHeight="1">
      <c r="A598" s="13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3.5" customHeight="1">
      <c r="A599" s="13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3.5" customHeight="1">
      <c r="A600" s="13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3.5" customHeight="1">
      <c r="A601" s="13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3.5" customHeight="1">
      <c r="A602" s="13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3.5" customHeight="1">
      <c r="A603" s="13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3.5" customHeight="1">
      <c r="A604" s="13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3.5" customHeight="1">
      <c r="A605" s="13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3.5" customHeight="1">
      <c r="A606" s="13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3.5" customHeight="1">
      <c r="A607" s="13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3.5" customHeight="1">
      <c r="A608" s="13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3.5" customHeight="1">
      <c r="A609" s="13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3.5" customHeight="1">
      <c r="A610" s="13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3.5" customHeight="1">
      <c r="A611" s="13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3.5" customHeight="1">
      <c r="A612" s="13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3.5" customHeight="1">
      <c r="A613" s="13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3.5" customHeight="1">
      <c r="A614" s="13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3.5" customHeight="1">
      <c r="A615" s="13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3.5" customHeight="1">
      <c r="A616" s="13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3.5" customHeight="1">
      <c r="A617" s="13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3.5" customHeight="1">
      <c r="A618" s="13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3.5" customHeight="1">
      <c r="A619" s="13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3.5" customHeight="1">
      <c r="A620" s="13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3.5" customHeight="1">
      <c r="A621" s="13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3.5" customHeight="1">
      <c r="A622" s="13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3.5" customHeight="1">
      <c r="A623" s="13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3.5" customHeight="1">
      <c r="A624" s="13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3.5" customHeight="1">
      <c r="A625" s="13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3.5" customHeight="1">
      <c r="A626" s="13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3.5" customHeight="1">
      <c r="A627" s="13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3.5" customHeight="1">
      <c r="A628" s="13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3.5" customHeight="1">
      <c r="A629" s="13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3.5" customHeight="1">
      <c r="A630" s="13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3.5" customHeight="1">
      <c r="A631" s="13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3.5" customHeight="1">
      <c r="A632" s="13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3.5" customHeight="1">
      <c r="A633" s="13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3.5" customHeight="1">
      <c r="A634" s="13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3.5" customHeight="1">
      <c r="A635" s="13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3.5" customHeight="1">
      <c r="A636" s="13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3.5" customHeight="1">
      <c r="A637" s="13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3.5" customHeight="1">
      <c r="A638" s="13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3.5" customHeight="1">
      <c r="A639" s="13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3.5" customHeight="1">
      <c r="A640" s="13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3.5" customHeight="1">
      <c r="A641" s="13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3.5" customHeight="1">
      <c r="A642" s="13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3.5" customHeight="1">
      <c r="A643" s="13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3.5" customHeight="1">
      <c r="A644" s="13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3.5" customHeight="1">
      <c r="A645" s="13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3.5" customHeight="1">
      <c r="A646" s="13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3.5" customHeight="1">
      <c r="A647" s="13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3.5" customHeight="1">
      <c r="A648" s="13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3.5" customHeight="1">
      <c r="A649" s="13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3.5" customHeight="1">
      <c r="A650" s="13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3.5" customHeight="1">
      <c r="A651" s="13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3.5" customHeight="1">
      <c r="A652" s="13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3.5" customHeight="1">
      <c r="A653" s="13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3.5" customHeight="1">
      <c r="A654" s="13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3.5" customHeight="1">
      <c r="A655" s="13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3.5" customHeight="1">
      <c r="A656" s="13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3.5" customHeight="1">
      <c r="A657" s="13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3.5" customHeight="1">
      <c r="A658" s="13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3.5" customHeight="1">
      <c r="A659" s="13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3.5" customHeight="1">
      <c r="A660" s="13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3.5" customHeight="1">
      <c r="A661" s="13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3.5" customHeight="1">
      <c r="A662" s="13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3.5" customHeight="1">
      <c r="A663" s="13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3.5" customHeight="1">
      <c r="A664" s="13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3.5" customHeight="1">
      <c r="A665" s="13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3.5" customHeight="1">
      <c r="A666" s="13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3.5" customHeight="1">
      <c r="A667" s="13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3.5" customHeight="1">
      <c r="A668" s="13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3.5" customHeight="1">
      <c r="A669" s="13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3.5" customHeight="1">
      <c r="A670" s="13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3.5" customHeight="1">
      <c r="A671" s="13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3.5" customHeight="1">
      <c r="A672" s="13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3.5" customHeight="1">
      <c r="A673" s="13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3.5" customHeight="1">
      <c r="A674" s="13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3.5" customHeight="1">
      <c r="A675" s="13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3.5" customHeight="1">
      <c r="A676" s="13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3.5" customHeight="1">
      <c r="A677" s="13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3.5" customHeight="1">
      <c r="A678" s="13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3.5" customHeight="1">
      <c r="A679" s="13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3.5" customHeight="1">
      <c r="A680" s="13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3.5" customHeight="1">
      <c r="A681" s="13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3.5" customHeight="1">
      <c r="A682" s="13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3.5" customHeight="1">
      <c r="A683" s="13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3.5" customHeight="1">
      <c r="A684" s="13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3.5" customHeight="1">
      <c r="A685" s="13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3.5" customHeight="1">
      <c r="A686" s="13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3.5" customHeight="1">
      <c r="A687" s="13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3.5" customHeight="1">
      <c r="A688" s="13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3.5" customHeight="1">
      <c r="A689" s="13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3.5" customHeight="1">
      <c r="A690" s="13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3.5" customHeight="1">
      <c r="A691" s="13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3.5" customHeight="1">
      <c r="A692" s="13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3.5" customHeight="1">
      <c r="A693" s="13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3.5" customHeight="1">
      <c r="A694" s="13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3.5" customHeight="1">
      <c r="A695" s="13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3.5" customHeight="1">
      <c r="A696" s="13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3.5" customHeight="1">
      <c r="A697" s="13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3.5" customHeight="1">
      <c r="A698" s="13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3.5" customHeight="1">
      <c r="A699" s="13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3.5" customHeight="1">
      <c r="A700" s="13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3.5" customHeight="1">
      <c r="A701" s="13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3.5" customHeight="1">
      <c r="A702" s="13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3.5" customHeight="1">
      <c r="A703" s="13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3.5" customHeight="1">
      <c r="A704" s="13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3.5" customHeight="1">
      <c r="A705" s="13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3.5" customHeight="1">
      <c r="A706" s="13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3.5" customHeight="1">
      <c r="A707" s="13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3.5" customHeight="1">
      <c r="A708" s="13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3.5" customHeight="1">
      <c r="A709" s="13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3.5" customHeight="1">
      <c r="A710" s="13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3.5" customHeight="1">
      <c r="A711" s="13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3.5" customHeight="1">
      <c r="A712" s="13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3.5" customHeight="1">
      <c r="A713" s="13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3.5" customHeight="1">
      <c r="A714" s="13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3.5" customHeight="1">
      <c r="A715" s="13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3.5" customHeight="1">
      <c r="A716" s="13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3.5" customHeight="1">
      <c r="A717" s="13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3.5" customHeight="1">
      <c r="A718" s="13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3.5" customHeight="1">
      <c r="A719" s="13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3.5" customHeight="1">
      <c r="A720" s="13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3.5" customHeight="1">
      <c r="A721" s="13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3.5" customHeight="1">
      <c r="A722" s="13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3.5" customHeight="1">
      <c r="A723" s="13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3.5" customHeight="1">
      <c r="A724" s="13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3.5" customHeight="1">
      <c r="A725" s="13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3.5" customHeight="1">
      <c r="A726" s="13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3.5" customHeight="1">
      <c r="A727" s="13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3.5" customHeight="1">
      <c r="A728" s="13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3.5" customHeight="1">
      <c r="A729" s="13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3.5" customHeight="1">
      <c r="A730" s="13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3.5" customHeight="1">
      <c r="A731" s="13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3.5" customHeight="1">
      <c r="A732" s="13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3.5" customHeight="1">
      <c r="A733" s="13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3.5" customHeight="1">
      <c r="A734" s="13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3.5" customHeight="1">
      <c r="A735" s="13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3.5" customHeight="1">
      <c r="A736" s="13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3.5" customHeight="1">
      <c r="A737" s="13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3.5" customHeight="1">
      <c r="A738" s="13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3.5" customHeight="1">
      <c r="A739" s="13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3.5" customHeight="1">
      <c r="A740" s="13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3.5" customHeight="1">
      <c r="A741" s="13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3.5" customHeight="1">
      <c r="A742" s="13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3.5" customHeight="1">
      <c r="A743" s="13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3.5" customHeight="1">
      <c r="A744" s="13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3.5" customHeight="1">
      <c r="A745" s="13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3.5" customHeight="1">
      <c r="A746" s="13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3.5" customHeight="1">
      <c r="A747" s="13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3.5" customHeight="1">
      <c r="A748" s="13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3.5" customHeight="1">
      <c r="A749" s="13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3.5" customHeight="1">
      <c r="A750" s="13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3.5" customHeight="1">
      <c r="A751" s="13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3.5" customHeight="1">
      <c r="A752" s="13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3.5" customHeight="1">
      <c r="A753" s="13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3.5" customHeight="1">
      <c r="A754" s="13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3.5" customHeight="1">
      <c r="A755" s="13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3.5" customHeight="1">
      <c r="A756" s="13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3.5" customHeight="1">
      <c r="A757" s="13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3.5" customHeight="1">
      <c r="A758" s="13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3.5" customHeight="1">
      <c r="A759" s="13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3.5" customHeight="1">
      <c r="A760" s="13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3.5" customHeight="1">
      <c r="A761" s="13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3.5" customHeight="1">
      <c r="A762" s="13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3.5" customHeight="1">
      <c r="A763" s="13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3.5" customHeight="1">
      <c r="A764" s="13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3.5" customHeight="1">
      <c r="A765" s="13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3.5" customHeight="1">
      <c r="A766" s="13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3.5" customHeight="1">
      <c r="A767" s="13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3.5" customHeight="1">
      <c r="A768" s="13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3.5" customHeight="1">
      <c r="A769" s="13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3.5" customHeight="1">
      <c r="A770" s="13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3.5" customHeight="1">
      <c r="A771" s="13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3.5" customHeight="1">
      <c r="A772" s="13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3.5" customHeight="1">
      <c r="A773" s="13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3.5" customHeight="1">
      <c r="A774" s="13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3.5" customHeight="1">
      <c r="A775" s="13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3.5" customHeight="1">
      <c r="A776" s="13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3.5" customHeight="1">
      <c r="A777" s="13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3.5" customHeight="1">
      <c r="A778" s="13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3.5" customHeight="1">
      <c r="A779" s="13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3.5" customHeight="1">
      <c r="A780" s="13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3.5" customHeight="1">
      <c r="A781" s="13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3.5" customHeight="1">
      <c r="A782" s="13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3.5" customHeight="1">
      <c r="A783" s="13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3.5" customHeight="1">
      <c r="A784" s="13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3.5" customHeight="1">
      <c r="A785" s="13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3.5" customHeight="1">
      <c r="A786" s="13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3.5" customHeight="1">
      <c r="A787" s="13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3.5" customHeight="1">
      <c r="A788" s="13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3.5" customHeight="1">
      <c r="A789" s="13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3.5" customHeight="1">
      <c r="A790" s="13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3.5" customHeight="1">
      <c r="A791" s="13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3.5" customHeight="1">
      <c r="A792" s="13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3.5" customHeight="1">
      <c r="A793" s="13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3.5" customHeight="1">
      <c r="A794" s="13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3.5" customHeight="1">
      <c r="A795" s="13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3.5" customHeight="1">
      <c r="A796" s="13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3.5" customHeight="1">
      <c r="A797" s="13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3.5" customHeight="1">
      <c r="A798" s="13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3.5" customHeight="1">
      <c r="A799" s="13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3.5" customHeight="1">
      <c r="A800" s="13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3.5" customHeight="1">
      <c r="A801" s="13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3.5" customHeight="1">
      <c r="A802" s="13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3.5" customHeight="1">
      <c r="A803" s="13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3.5" customHeight="1">
      <c r="A804" s="13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3.5" customHeight="1">
      <c r="A805" s="13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3.5" customHeight="1">
      <c r="A806" s="13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3.5" customHeight="1">
      <c r="A807" s="13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3.5" customHeight="1">
      <c r="A808" s="13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3.5" customHeight="1">
      <c r="A809" s="13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3.5" customHeight="1">
      <c r="A810" s="13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3.5" customHeight="1">
      <c r="A811" s="13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3.5" customHeight="1">
      <c r="A812" s="13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3.5" customHeight="1">
      <c r="A813" s="13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3.5" customHeight="1">
      <c r="A814" s="13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3.5" customHeight="1">
      <c r="A815" s="13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3.5" customHeight="1">
      <c r="A816" s="13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3.5" customHeight="1">
      <c r="A817" s="13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3.5" customHeight="1">
      <c r="A818" s="13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3.5" customHeight="1">
      <c r="A819" s="13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3.5" customHeight="1">
      <c r="A820" s="13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3.5" customHeight="1">
      <c r="A821" s="13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3.5" customHeight="1">
      <c r="A822" s="13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3.5" customHeight="1">
      <c r="A823" s="13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3.5" customHeight="1">
      <c r="A824" s="13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3.5" customHeight="1">
      <c r="A825" s="13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3.5" customHeight="1">
      <c r="A826" s="13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3.5" customHeight="1">
      <c r="A827" s="13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3.5" customHeight="1">
      <c r="A828" s="13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3.5" customHeight="1">
      <c r="A829" s="13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3.5" customHeight="1">
      <c r="A830" s="13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3.5" customHeight="1">
      <c r="A831" s="13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3.5" customHeight="1">
      <c r="A832" s="13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3.5" customHeight="1">
      <c r="A833" s="13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3.5" customHeight="1">
      <c r="A834" s="13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3.5" customHeight="1">
      <c r="A835" s="13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3.5" customHeight="1">
      <c r="A836" s="13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3.5" customHeight="1">
      <c r="A837" s="13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3.5" customHeight="1">
      <c r="A838" s="13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3.5" customHeight="1">
      <c r="A839" s="13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3.5" customHeight="1">
      <c r="A840" s="13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3.5" customHeight="1">
      <c r="A841" s="13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3.5" customHeight="1">
      <c r="A842" s="13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3.5" customHeight="1">
      <c r="A843" s="13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3.5" customHeight="1">
      <c r="A844" s="13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3.5" customHeight="1">
      <c r="A845" s="13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3.5" customHeight="1">
      <c r="A846" s="13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3.5" customHeight="1">
      <c r="A847" s="13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3.5" customHeight="1">
      <c r="A848" s="13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3.5" customHeight="1">
      <c r="A849" s="13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3.5" customHeight="1">
      <c r="A850" s="13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3.5" customHeight="1">
      <c r="A851" s="13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3.5" customHeight="1">
      <c r="A852" s="13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3.5" customHeight="1">
      <c r="A853" s="13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3.5" customHeight="1">
      <c r="A854" s="13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3.5" customHeight="1">
      <c r="A855" s="13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3.5" customHeight="1">
      <c r="A856" s="13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3.5" customHeight="1">
      <c r="A857" s="13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3.5" customHeight="1">
      <c r="A858" s="13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3.5" customHeight="1">
      <c r="A859" s="13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3.5" customHeight="1">
      <c r="A860" s="13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3.5" customHeight="1">
      <c r="A861" s="13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3.5" customHeight="1">
      <c r="A862" s="13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3.5" customHeight="1">
      <c r="A863" s="13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3.5" customHeight="1">
      <c r="A864" s="13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3.5" customHeight="1">
      <c r="A865" s="13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3.5" customHeight="1">
      <c r="A866" s="13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3.5" customHeight="1">
      <c r="A867" s="13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3.5" customHeight="1">
      <c r="A868" s="13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3.5" customHeight="1">
      <c r="A869" s="13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3.5" customHeight="1">
      <c r="A870" s="13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3.5" customHeight="1">
      <c r="A871" s="13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3.5" customHeight="1">
      <c r="A872" s="13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3.5" customHeight="1">
      <c r="A873" s="13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3.5" customHeight="1">
      <c r="A874" s="13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3.5" customHeight="1">
      <c r="A875" s="13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3.5" customHeight="1">
      <c r="A876" s="13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3.5" customHeight="1">
      <c r="A877" s="13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3.5" customHeight="1">
      <c r="A878" s="13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3.5" customHeight="1">
      <c r="A879" s="13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3.5" customHeight="1">
      <c r="A880" s="13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3.5" customHeight="1">
      <c r="A881" s="13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3.5" customHeight="1">
      <c r="A882" s="13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3.5" customHeight="1">
      <c r="A883" s="13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3.5" customHeight="1">
      <c r="A884" s="13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3.5" customHeight="1">
      <c r="A885" s="13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3.5" customHeight="1">
      <c r="A886" s="13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3.5" customHeight="1">
      <c r="A887" s="13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3.5" customHeight="1">
      <c r="A888" s="13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3.5" customHeight="1">
      <c r="A889" s="13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3.5" customHeight="1">
      <c r="A890" s="13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3.5" customHeight="1">
      <c r="A891" s="13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3.5" customHeight="1">
      <c r="A892" s="13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3.5" customHeight="1">
      <c r="A893" s="13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3.5" customHeight="1">
      <c r="A894" s="13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3.5" customHeight="1">
      <c r="A895" s="13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3.5" customHeight="1">
      <c r="A896" s="13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3.5" customHeight="1">
      <c r="A897" s="13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3.5" customHeight="1">
      <c r="A898" s="13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3.5" customHeight="1">
      <c r="A899" s="13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3.5" customHeight="1">
      <c r="A900" s="13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3.5" customHeight="1">
      <c r="A901" s="13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3.5" customHeight="1">
      <c r="A902" s="13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3.5" customHeight="1">
      <c r="A903" s="13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3.5" customHeight="1">
      <c r="A904" s="13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3.5" customHeight="1">
      <c r="A905" s="13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3.5" customHeight="1">
      <c r="A906" s="13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3.5" customHeight="1">
      <c r="A907" s="13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3.5" customHeight="1">
      <c r="A908" s="13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3.5" customHeight="1">
      <c r="A909" s="13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3.5" customHeight="1">
      <c r="A910" s="13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3.5" customHeight="1">
      <c r="A911" s="13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3.5" customHeight="1">
      <c r="A912" s="13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3.5" customHeight="1">
      <c r="A913" s="13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3.5" customHeight="1">
      <c r="A914" s="13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3.5" customHeight="1">
      <c r="A915" s="13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3.5" customHeight="1">
      <c r="A916" s="13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3.5" customHeight="1">
      <c r="A917" s="13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3.5" customHeight="1">
      <c r="A918" s="13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3.5" customHeight="1">
      <c r="A919" s="13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3.5" customHeight="1">
      <c r="A920" s="13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3.5" customHeight="1">
      <c r="A921" s="13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3.5" customHeight="1">
      <c r="A922" s="13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3.5" customHeight="1">
      <c r="A923" s="13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3.5" customHeight="1">
      <c r="A924" s="13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3.5" customHeight="1">
      <c r="A925" s="13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3.5" customHeight="1">
      <c r="A926" s="13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3.5" customHeight="1">
      <c r="A927" s="13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3.5" customHeight="1">
      <c r="A928" s="13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3.5" customHeight="1">
      <c r="A929" s="13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3.5" customHeight="1">
      <c r="A930" s="13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3.5" customHeight="1">
      <c r="A931" s="13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3.5" customHeight="1">
      <c r="A932" s="13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3.5" customHeight="1">
      <c r="A933" s="13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3.5" customHeight="1">
      <c r="A934" s="13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3.5" customHeight="1">
      <c r="A935" s="13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3.5" customHeight="1">
      <c r="A936" s="13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3.5" customHeight="1">
      <c r="A937" s="13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3.5" customHeight="1">
      <c r="A938" s="13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3.5" customHeight="1">
      <c r="A939" s="13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3.5" customHeight="1">
      <c r="A940" s="13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3.5" customHeight="1">
      <c r="A941" s="13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3.5" customHeight="1">
      <c r="A942" s="13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3.5" customHeight="1">
      <c r="A943" s="13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3.5" customHeight="1">
      <c r="A944" s="13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3.5" customHeight="1">
      <c r="A945" s="13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3.5" customHeight="1">
      <c r="A946" s="13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3.5" customHeight="1">
      <c r="A947" s="13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3.5" customHeight="1">
      <c r="A948" s="13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3.5" customHeight="1">
      <c r="A949" s="13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3.5" customHeight="1">
      <c r="A950" s="13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3.5" customHeight="1">
      <c r="A951" s="13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3.5" customHeight="1">
      <c r="A952" s="13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3.5" customHeight="1">
      <c r="A953" s="13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3.5" customHeight="1">
      <c r="A954" s="13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3.5" customHeight="1">
      <c r="A955" s="13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3.5" customHeight="1">
      <c r="A956" s="13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3.5" customHeight="1">
      <c r="A957" s="13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3.5" customHeight="1">
      <c r="A958" s="13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3.5" customHeight="1">
      <c r="A959" s="13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3.5" customHeight="1">
      <c r="A960" s="13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3.5" customHeight="1">
      <c r="A961" s="13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3.5" customHeight="1">
      <c r="A962" s="13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3.5" customHeight="1">
      <c r="A963" s="13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3.5" customHeight="1">
      <c r="A964" s="13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3.5" customHeight="1">
      <c r="A965" s="13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3.5" customHeight="1">
      <c r="A966" s="13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3.5" customHeight="1">
      <c r="A967" s="13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3.5" customHeight="1">
      <c r="A968" s="13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3.5" customHeight="1">
      <c r="A969" s="13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3.5" customHeight="1">
      <c r="A970" s="13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3.5" customHeight="1">
      <c r="A971" s="13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3.5" customHeight="1">
      <c r="A972" s="13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3.5" customHeight="1">
      <c r="A973" s="13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3.5" customHeight="1">
      <c r="A974" s="13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3.5" customHeight="1">
      <c r="A975" s="13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3.5" customHeight="1">
      <c r="A976" s="13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3.5" customHeight="1">
      <c r="A977" s="13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3.5" customHeight="1">
      <c r="A978" s="13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3.5" customHeight="1">
      <c r="A979" s="13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3.5" customHeight="1">
      <c r="A980" s="13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3.5" customHeight="1">
      <c r="A981" s="13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3.5" customHeight="1">
      <c r="A982" s="13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3.5" customHeight="1">
      <c r="A983" s="13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3.5" customHeight="1">
      <c r="A984" s="13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3.5" customHeight="1">
      <c r="A985" s="13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3.5" customHeight="1">
      <c r="A986" s="13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3.5" customHeight="1">
      <c r="A987" s="13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3.5" customHeight="1">
      <c r="A988" s="13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3.5" customHeight="1">
      <c r="A989" s="13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3.5" customHeight="1">
      <c r="A990" s="13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3.5" customHeight="1">
      <c r="A991" s="13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3.5" customHeight="1">
      <c r="A992" s="13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3.5" customHeight="1">
      <c r="A993" s="13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3.5" customHeight="1">
      <c r="A994" s="13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3.5" customHeight="1">
      <c r="A995" s="13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3.5" customHeight="1">
      <c r="A996" s="13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3.5" customHeight="1">
      <c r="A997" s="13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3.5" customHeight="1">
      <c r="A998" s="13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3.5" customHeight="1">
      <c r="A999" s="13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3.5" customHeight="1">
      <c r="A1000" s="13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2019-02-21T15:50:54Z</dcterms:created>
  <dc:creator>Administrator</dc:creator>
</cp:coreProperties>
</file>